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hare_bak\MySelf\MES_Lite\"/>
    </mc:Choice>
  </mc:AlternateContent>
  <xr:revisionPtr revIDLastSave="0" documentId="13_ncr:1_{021A11A6-E9D9-417B-827F-7485127CB0BD}" xr6:coauthVersionLast="47" xr6:coauthVersionMax="47" xr10:uidLastSave="{00000000-0000-0000-0000-000000000000}"/>
  <bookViews>
    <workbookView xWindow="1290" yWindow="4860" windowWidth="22590" windowHeight="11985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1" l="1"/>
  <c r="A62" i="1"/>
  <c r="A56" i="1"/>
  <c r="A50" i="1"/>
  <c r="A44" i="1"/>
  <c r="A38" i="1"/>
  <c r="A32" i="1"/>
  <c r="A26" i="1"/>
  <c r="A20" i="1"/>
  <c r="A14" i="1"/>
  <c r="A8" i="1"/>
  <c r="M73" i="1"/>
  <c r="L73" i="1"/>
  <c r="K73" i="1"/>
  <c r="J73" i="1"/>
  <c r="I73" i="1"/>
  <c r="H73" i="1"/>
  <c r="G73" i="1"/>
  <c r="F73" i="1"/>
  <c r="E73" i="1"/>
  <c r="D73" i="1"/>
  <c r="C73" i="1"/>
  <c r="B73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 s="1"/>
  <c r="M71" i="1"/>
  <c r="L71" i="1"/>
  <c r="K71" i="1"/>
  <c r="J71" i="1"/>
  <c r="I71" i="1"/>
  <c r="H71" i="1"/>
  <c r="G71" i="1"/>
  <c r="F71" i="1"/>
  <c r="E71" i="1"/>
  <c r="D71" i="1"/>
  <c r="C71" i="1"/>
  <c r="B71" i="1"/>
  <c r="A71" i="1" s="1"/>
  <c r="M70" i="1"/>
  <c r="L70" i="1"/>
  <c r="K70" i="1"/>
  <c r="J70" i="1"/>
  <c r="I70" i="1"/>
  <c r="H70" i="1"/>
  <c r="G70" i="1"/>
  <c r="F70" i="1"/>
  <c r="E70" i="1"/>
  <c r="D70" i="1"/>
  <c r="C70" i="1"/>
  <c r="B70" i="1"/>
  <c r="M69" i="1"/>
  <c r="L69" i="1"/>
  <c r="K69" i="1"/>
  <c r="J69" i="1"/>
  <c r="I69" i="1"/>
  <c r="H69" i="1"/>
  <c r="G69" i="1"/>
  <c r="F69" i="1"/>
  <c r="E69" i="1"/>
  <c r="D69" i="1"/>
  <c r="C69" i="1"/>
  <c r="B69" i="1"/>
  <c r="M68" i="1"/>
  <c r="L68" i="1"/>
  <c r="K68" i="1"/>
  <c r="J68" i="1"/>
  <c r="I68" i="1"/>
  <c r="H68" i="1"/>
  <c r="G68" i="1"/>
  <c r="F68" i="1"/>
  <c r="E68" i="1"/>
  <c r="D68" i="1"/>
  <c r="C68" i="1"/>
  <c r="B68" i="1"/>
  <c r="M67" i="1"/>
  <c r="L67" i="1"/>
  <c r="K67" i="1"/>
  <c r="J67" i="1"/>
  <c r="I67" i="1"/>
  <c r="H67" i="1"/>
  <c r="G67" i="1"/>
  <c r="F67" i="1"/>
  <c r="E67" i="1"/>
  <c r="D67" i="1"/>
  <c r="C67" i="1"/>
  <c r="B67" i="1"/>
  <c r="M66" i="1"/>
  <c r="L66" i="1"/>
  <c r="K66" i="1"/>
  <c r="J66" i="1"/>
  <c r="I66" i="1"/>
  <c r="H66" i="1"/>
  <c r="G66" i="1"/>
  <c r="F66" i="1"/>
  <c r="E66" i="1"/>
  <c r="D66" i="1"/>
  <c r="C66" i="1"/>
  <c r="B66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 s="1"/>
  <c r="M64" i="1"/>
  <c r="L64" i="1"/>
  <c r="K64" i="1"/>
  <c r="J64" i="1"/>
  <c r="I64" i="1"/>
  <c r="H64" i="1"/>
  <c r="G64" i="1"/>
  <c r="F64" i="1"/>
  <c r="E64" i="1"/>
  <c r="D64" i="1"/>
  <c r="C64" i="1"/>
  <c r="B64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 s="1"/>
  <c r="M62" i="1"/>
  <c r="L62" i="1"/>
  <c r="K62" i="1"/>
  <c r="J62" i="1"/>
  <c r="I62" i="1"/>
  <c r="H62" i="1"/>
  <c r="G62" i="1"/>
  <c r="F62" i="1"/>
  <c r="E62" i="1"/>
  <c r="D62" i="1"/>
  <c r="C62" i="1"/>
  <c r="B62" i="1"/>
  <c r="M61" i="1"/>
  <c r="L61" i="1"/>
  <c r="K61" i="1"/>
  <c r="J61" i="1"/>
  <c r="I61" i="1"/>
  <c r="H61" i="1"/>
  <c r="G61" i="1"/>
  <c r="F61" i="1"/>
  <c r="E61" i="1"/>
  <c r="D61" i="1"/>
  <c r="C61" i="1"/>
  <c r="B61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 s="1"/>
  <c r="M59" i="1"/>
  <c r="L59" i="1"/>
  <c r="K59" i="1"/>
  <c r="J59" i="1"/>
  <c r="I59" i="1"/>
  <c r="H59" i="1"/>
  <c r="G59" i="1"/>
  <c r="F59" i="1"/>
  <c r="E59" i="1"/>
  <c r="D59" i="1"/>
  <c r="C59" i="1"/>
  <c r="B59" i="1"/>
  <c r="M58" i="1"/>
  <c r="L58" i="1"/>
  <c r="K58" i="1"/>
  <c r="J58" i="1"/>
  <c r="I58" i="1"/>
  <c r="H58" i="1"/>
  <c r="G58" i="1"/>
  <c r="F58" i="1"/>
  <c r="E58" i="1"/>
  <c r="D58" i="1"/>
  <c r="C58" i="1"/>
  <c r="B58" i="1"/>
  <c r="M57" i="1"/>
  <c r="L57" i="1"/>
  <c r="K57" i="1"/>
  <c r="J57" i="1"/>
  <c r="I57" i="1"/>
  <c r="H57" i="1"/>
  <c r="G57" i="1"/>
  <c r="F57" i="1"/>
  <c r="E57" i="1"/>
  <c r="D57" i="1"/>
  <c r="C57" i="1"/>
  <c r="B57" i="1"/>
  <c r="M56" i="1"/>
  <c r="L56" i="1"/>
  <c r="K56" i="1"/>
  <c r="J56" i="1"/>
  <c r="I56" i="1"/>
  <c r="H56" i="1"/>
  <c r="G56" i="1"/>
  <c r="F56" i="1"/>
  <c r="E56" i="1"/>
  <c r="D56" i="1"/>
  <c r="C56" i="1"/>
  <c r="B56" i="1"/>
  <c r="M55" i="1"/>
  <c r="L55" i="1"/>
  <c r="K55" i="1"/>
  <c r="J55" i="1"/>
  <c r="I55" i="1"/>
  <c r="H55" i="1"/>
  <c r="G55" i="1"/>
  <c r="F55" i="1"/>
  <c r="E55" i="1"/>
  <c r="D55" i="1"/>
  <c r="C55" i="1"/>
  <c r="B55" i="1"/>
  <c r="M54" i="1"/>
  <c r="L54" i="1"/>
  <c r="K54" i="1"/>
  <c r="J54" i="1"/>
  <c r="I54" i="1"/>
  <c r="H54" i="1"/>
  <c r="G54" i="1"/>
  <c r="F54" i="1"/>
  <c r="E54" i="1"/>
  <c r="D54" i="1"/>
  <c r="C54" i="1"/>
  <c r="B54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 s="1"/>
  <c r="M52" i="1"/>
  <c r="L52" i="1"/>
  <c r="K52" i="1"/>
  <c r="J52" i="1"/>
  <c r="I52" i="1"/>
  <c r="H52" i="1"/>
  <c r="G52" i="1"/>
  <c r="F52" i="1"/>
  <c r="E52" i="1"/>
  <c r="D52" i="1"/>
  <c r="C52" i="1"/>
  <c r="B52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 s="1"/>
  <c r="M50" i="1"/>
  <c r="L50" i="1"/>
  <c r="K50" i="1"/>
  <c r="J50" i="1"/>
  <c r="I50" i="1"/>
  <c r="H50" i="1"/>
  <c r="G50" i="1"/>
  <c r="F50" i="1"/>
  <c r="E50" i="1"/>
  <c r="D50" i="1"/>
  <c r="C50" i="1"/>
  <c r="B50" i="1"/>
  <c r="M49" i="1"/>
  <c r="L49" i="1"/>
  <c r="K49" i="1"/>
  <c r="J49" i="1"/>
  <c r="I49" i="1"/>
  <c r="H49" i="1"/>
  <c r="G49" i="1"/>
  <c r="F49" i="1"/>
  <c r="E49" i="1"/>
  <c r="D49" i="1"/>
  <c r="C49" i="1"/>
  <c r="B49" i="1"/>
  <c r="M48" i="1"/>
  <c r="L48" i="1"/>
  <c r="K48" i="1"/>
  <c r="J48" i="1"/>
  <c r="I48" i="1"/>
  <c r="H48" i="1"/>
  <c r="G48" i="1"/>
  <c r="F48" i="1"/>
  <c r="E48" i="1"/>
  <c r="D48" i="1"/>
  <c r="C48" i="1"/>
  <c r="B48" i="1"/>
  <c r="M47" i="1"/>
  <c r="L47" i="1"/>
  <c r="K47" i="1"/>
  <c r="J47" i="1"/>
  <c r="I47" i="1"/>
  <c r="H47" i="1"/>
  <c r="G47" i="1"/>
  <c r="F47" i="1"/>
  <c r="E47" i="1"/>
  <c r="D47" i="1"/>
  <c r="C47" i="1"/>
  <c r="B47" i="1"/>
  <c r="M46" i="1"/>
  <c r="L46" i="1"/>
  <c r="K46" i="1"/>
  <c r="J46" i="1"/>
  <c r="I46" i="1"/>
  <c r="H46" i="1"/>
  <c r="G46" i="1"/>
  <c r="F46" i="1"/>
  <c r="E46" i="1"/>
  <c r="D46" i="1"/>
  <c r="C46" i="1"/>
  <c r="B46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 s="1"/>
  <c r="M44" i="1"/>
  <c r="L44" i="1"/>
  <c r="K44" i="1"/>
  <c r="J44" i="1"/>
  <c r="I44" i="1"/>
  <c r="H44" i="1"/>
  <c r="G44" i="1"/>
  <c r="F44" i="1"/>
  <c r="E44" i="1"/>
  <c r="D44" i="1"/>
  <c r="C44" i="1"/>
  <c r="B44" i="1"/>
  <c r="M43" i="1"/>
  <c r="L43" i="1"/>
  <c r="K43" i="1"/>
  <c r="J43" i="1"/>
  <c r="I43" i="1"/>
  <c r="H43" i="1"/>
  <c r="G43" i="1"/>
  <c r="F43" i="1"/>
  <c r="E43" i="1"/>
  <c r="D43" i="1"/>
  <c r="C43" i="1"/>
  <c r="B43" i="1"/>
  <c r="M42" i="1"/>
  <c r="L42" i="1"/>
  <c r="K42" i="1"/>
  <c r="J42" i="1"/>
  <c r="I42" i="1"/>
  <c r="H42" i="1"/>
  <c r="G42" i="1"/>
  <c r="F42" i="1"/>
  <c r="E42" i="1"/>
  <c r="D42" i="1"/>
  <c r="C42" i="1"/>
  <c r="B42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 s="1"/>
  <c r="M40" i="1"/>
  <c r="L40" i="1"/>
  <c r="K40" i="1"/>
  <c r="J40" i="1"/>
  <c r="I40" i="1"/>
  <c r="H40" i="1"/>
  <c r="G40" i="1"/>
  <c r="F40" i="1"/>
  <c r="E40" i="1"/>
  <c r="D40" i="1"/>
  <c r="C40" i="1"/>
  <c r="B40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 s="1"/>
  <c r="M38" i="1"/>
  <c r="L38" i="1"/>
  <c r="K38" i="1"/>
  <c r="J38" i="1"/>
  <c r="I38" i="1"/>
  <c r="H38" i="1"/>
  <c r="G38" i="1"/>
  <c r="F38" i="1"/>
  <c r="E38" i="1"/>
  <c r="D38" i="1"/>
  <c r="C38" i="1"/>
  <c r="B38" i="1"/>
  <c r="M37" i="1"/>
  <c r="L37" i="1"/>
  <c r="K37" i="1"/>
  <c r="J37" i="1"/>
  <c r="I37" i="1"/>
  <c r="H37" i="1"/>
  <c r="G37" i="1"/>
  <c r="F37" i="1"/>
  <c r="E37" i="1"/>
  <c r="D37" i="1"/>
  <c r="C37" i="1"/>
  <c r="B37" i="1"/>
  <c r="M36" i="1"/>
  <c r="L36" i="1"/>
  <c r="K36" i="1"/>
  <c r="J36" i="1"/>
  <c r="I36" i="1"/>
  <c r="H36" i="1"/>
  <c r="G36" i="1"/>
  <c r="F36" i="1"/>
  <c r="E36" i="1"/>
  <c r="D36" i="1"/>
  <c r="C36" i="1"/>
  <c r="B36" i="1"/>
  <c r="M35" i="1"/>
  <c r="L35" i="1"/>
  <c r="K35" i="1"/>
  <c r="J35" i="1"/>
  <c r="I35" i="1"/>
  <c r="H35" i="1"/>
  <c r="G35" i="1"/>
  <c r="F35" i="1"/>
  <c r="E35" i="1"/>
  <c r="D35" i="1"/>
  <c r="C35" i="1"/>
  <c r="B35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 s="1"/>
  <c r="M33" i="1"/>
  <c r="L33" i="1"/>
  <c r="K33" i="1"/>
  <c r="J33" i="1"/>
  <c r="I33" i="1"/>
  <c r="H33" i="1"/>
  <c r="G33" i="1"/>
  <c r="F33" i="1"/>
  <c r="E33" i="1"/>
  <c r="D33" i="1"/>
  <c r="C33" i="1"/>
  <c r="B33" i="1"/>
  <c r="A33" i="1" s="1"/>
  <c r="M32" i="1"/>
  <c r="L32" i="1"/>
  <c r="K32" i="1"/>
  <c r="J32" i="1"/>
  <c r="I32" i="1"/>
  <c r="H32" i="1"/>
  <c r="G32" i="1"/>
  <c r="F32" i="1"/>
  <c r="E32" i="1"/>
  <c r="D32" i="1"/>
  <c r="C32" i="1"/>
  <c r="B32" i="1"/>
  <c r="M31" i="1"/>
  <c r="L31" i="1"/>
  <c r="K31" i="1"/>
  <c r="J31" i="1"/>
  <c r="I31" i="1"/>
  <c r="H31" i="1"/>
  <c r="G31" i="1"/>
  <c r="F31" i="1"/>
  <c r="E31" i="1"/>
  <c r="D31" i="1"/>
  <c r="C31" i="1"/>
  <c r="B31" i="1"/>
  <c r="M30" i="1"/>
  <c r="L30" i="1"/>
  <c r="K30" i="1"/>
  <c r="J30" i="1"/>
  <c r="I30" i="1"/>
  <c r="H30" i="1"/>
  <c r="G30" i="1"/>
  <c r="F30" i="1"/>
  <c r="E30" i="1"/>
  <c r="D30" i="1"/>
  <c r="C30" i="1"/>
  <c r="B30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 s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J22" i="1"/>
  <c r="I22" i="1"/>
  <c r="H22" i="1"/>
  <c r="G22" i="1"/>
  <c r="F22" i="1"/>
  <c r="E22" i="1"/>
  <c r="D22" i="1"/>
  <c r="C22" i="1"/>
  <c r="B22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 s="1"/>
  <c r="M20" i="1"/>
  <c r="L20" i="1"/>
  <c r="K20" i="1"/>
  <c r="J20" i="1"/>
  <c r="I20" i="1"/>
  <c r="H20" i="1"/>
  <c r="G20" i="1"/>
  <c r="F20" i="1"/>
  <c r="E20" i="1"/>
  <c r="D20" i="1"/>
  <c r="C20" i="1"/>
  <c r="B20" i="1"/>
  <c r="M19" i="1"/>
  <c r="L19" i="1"/>
  <c r="K19" i="1"/>
  <c r="J19" i="1"/>
  <c r="I19" i="1"/>
  <c r="H19" i="1"/>
  <c r="G19" i="1"/>
  <c r="F19" i="1"/>
  <c r="E19" i="1"/>
  <c r="D19" i="1"/>
  <c r="C19" i="1"/>
  <c r="B19" i="1"/>
  <c r="M18" i="1"/>
  <c r="L18" i="1"/>
  <c r="K18" i="1"/>
  <c r="J18" i="1"/>
  <c r="I18" i="1"/>
  <c r="H18" i="1"/>
  <c r="G18" i="1"/>
  <c r="F18" i="1"/>
  <c r="E18" i="1"/>
  <c r="D18" i="1"/>
  <c r="C18" i="1"/>
  <c r="B18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 s="1"/>
  <c r="M16" i="1"/>
  <c r="L16" i="1"/>
  <c r="K16" i="1"/>
  <c r="J16" i="1"/>
  <c r="I16" i="1"/>
  <c r="H16" i="1"/>
  <c r="G16" i="1"/>
  <c r="F16" i="1"/>
  <c r="E16" i="1"/>
  <c r="D16" i="1"/>
  <c r="C16" i="1"/>
  <c r="B16" i="1"/>
  <c r="M15" i="1"/>
  <c r="L15" i="1"/>
  <c r="K15" i="1"/>
  <c r="J15" i="1"/>
  <c r="I15" i="1"/>
  <c r="H15" i="1"/>
  <c r="G15" i="1"/>
  <c r="F15" i="1"/>
  <c r="E15" i="1"/>
  <c r="D15" i="1"/>
  <c r="C15" i="1"/>
  <c r="B15" i="1"/>
  <c r="M14" i="1"/>
  <c r="L14" i="1"/>
  <c r="K14" i="1"/>
  <c r="J14" i="1"/>
  <c r="I14" i="1"/>
  <c r="H14" i="1"/>
  <c r="G14" i="1"/>
  <c r="F14" i="1"/>
  <c r="E14" i="1"/>
  <c r="D14" i="1"/>
  <c r="C14" i="1"/>
  <c r="B14" i="1"/>
  <c r="M13" i="1"/>
  <c r="L13" i="1"/>
  <c r="K13" i="1"/>
  <c r="J13" i="1"/>
  <c r="I13" i="1"/>
  <c r="H13" i="1"/>
  <c r="G13" i="1"/>
  <c r="F13" i="1"/>
  <c r="E13" i="1"/>
  <c r="D13" i="1"/>
  <c r="C13" i="1"/>
  <c r="B13" i="1"/>
  <c r="M12" i="1"/>
  <c r="L12" i="1"/>
  <c r="K12" i="1"/>
  <c r="J12" i="1"/>
  <c r="I12" i="1"/>
  <c r="H12" i="1"/>
  <c r="G12" i="1"/>
  <c r="F12" i="1"/>
  <c r="E12" i="1"/>
  <c r="D12" i="1"/>
  <c r="C12" i="1"/>
  <c r="B12" i="1"/>
  <c r="M11" i="1"/>
  <c r="L11" i="1"/>
  <c r="K11" i="1"/>
  <c r="J11" i="1"/>
  <c r="I11" i="1"/>
  <c r="H11" i="1"/>
  <c r="G11" i="1"/>
  <c r="F11" i="1"/>
  <c r="E11" i="1"/>
  <c r="D11" i="1"/>
  <c r="C11" i="1"/>
  <c r="B11" i="1"/>
  <c r="M10" i="1"/>
  <c r="L10" i="1"/>
  <c r="K10" i="1"/>
  <c r="J10" i="1"/>
  <c r="I10" i="1"/>
  <c r="H10" i="1"/>
  <c r="G10" i="1"/>
  <c r="F10" i="1"/>
  <c r="E10" i="1"/>
  <c r="D10" i="1"/>
  <c r="C10" i="1"/>
  <c r="B10" i="1"/>
  <c r="M9" i="1"/>
  <c r="L9" i="1"/>
  <c r="K9" i="1"/>
  <c r="J9" i="1"/>
  <c r="I9" i="1"/>
  <c r="H9" i="1"/>
  <c r="G9" i="1"/>
  <c r="F9" i="1"/>
  <c r="E9" i="1"/>
  <c r="D9" i="1"/>
  <c r="C9" i="1"/>
  <c r="B9" i="1"/>
  <c r="A9" i="1" s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  <c r="M5" i="1"/>
  <c r="L5" i="1"/>
  <c r="K5" i="1"/>
  <c r="J5" i="1"/>
  <c r="I5" i="1"/>
  <c r="H5" i="1"/>
  <c r="G5" i="1"/>
  <c r="F5" i="1"/>
  <c r="E5" i="1"/>
  <c r="D5" i="1"/>
  <c r="C5" i="1"/>
  <c r="B5" i="1"/>
  <c r="M4" i="1"/>
  <c r="L4" i="1"/>
  <c r="K4" i="1"/>
  <c r="J4" i="1"/>
  <c r="I4" i="1"/>
  <c r="H4" i="1"/>
  <c r="G4" i="1"/>
  <c r="F4" i="1"/>
  <c r="E4" i="1"/>
  <c r="D4" i="1"/>
  <c r="C4" i="1"/>
  <c r="B4" i="1"/>
  <c r="A4" i="1" s="1"/>
  <c r="M3" i="1"/>
  <c r="L3" i="1"/>
  <c r="K3" i="1"/>
  <c r="J3" i="1"/>
  <c r="I3" i="1"/>
  <c r="H3" i="1"/>
  <c r="G3" i="1"/>
  <c r="F3" i="1"/>
  <c r="E3" i="1"/>
  <c r="D3" i="1"/>
  <c r="C3" i="1"/>
  <c r="B3" i="1"/>
  <c r="A3" i="1" s="1"/>
  <c r="B2" i="1"/>
  <c r="A2" i="1" s="1"/>
  <c r="C2" i="1"/>
  <c r="D2" i="1"/>
  <c r="E2" i="1"/>
  <c r="F2" i="1"/>
  <c r="G2" i="1"/>
  <c r="J2" i="1"/>
  <c r="K2" i="1"/>
  <c r="L2" i="1"/>
  <c r="M2" i="1"/>
  <c r="I2" i="1"/>
  <c r="H2" i="1"/>
  <c r="N32" i="1" l="1" a="1"/>
  <c r="N32" i="1" s="1"/>
  <c r="N44" i="1" a="1"/>
  <c r="N44" i="1" s="1"/>
  <c r="A15" i="1"/>
  <c r="N15" i="1" s="1" a="1"/>
  <c r="N15" i="1" s="1"/>
  <c r="A27" i="1"/>
  <c r="N27" i="1" s="1" a="1"/>
  <c r="N27" i="1" s="1"/>
  <c r="A57" i="1"/>
  <c r="N57" i="1" s="1" a="1"/>
  <c r="N57" i="1" s="1"/>
  <c r="A69" i="1"/>
  <c r="N69" i="1" s="1" a="1"/>
  <c r="N69" i="1" s="1"/>
  <c r="N8" i="1" a="1"/>
  <c r="N8" i="1" s="1"/>
  <c r="N20" i="1" a="1"/>
  <c r="N20" i="1" s="1"/>
  <c r="N33" i="1" a="1"/>
  <c r="N33" i="1" s="1"/>
  <c r="N50" i="1" a="1"/>
  <c r="N50" i="1" s="1"/>
  <c r="N14" i="1" a="1"/>
  <c r="N14" i="1" s="1"/>
  <c r="N26" i="1" a="1"/>
  <c r="N26" i="1" s="1"/>
  <c r="N39" i="1" a="1"/>
  <c r="N39" i="1" s="1"/>
  <c r="N51" i="1" a="1"/>
  <c r="N51" i="1" s="1"/>
  <c r="N62" i="1" a="1"/>
  <c r="N62" i="1" s="1"/>
  <c r="A10" i="1"/>
  <c r="N10" i="1" s="1" a="1"/>
  <c r="N10" i="1" s="1"/>
  <c r="A16" i="1"/>
  <c r="N16" i="1" s="1" a="1"/>
  <c r="N16" i="1" s="1"/>
  <c r="A22" i="1"/>
  <c r="N22" i="1" s="1" a="1"/>
  <c r="N22" i="1" s="1"/>
  <c r="A28" i="1"/>
  <c r="N28" i="1" s="1" a="1"/>
  <c r="N28" i="1" s="1"/>
  <c r="A40" i="1"/>
  <c r="N40" i="1" s="1" a="1"/>
  <c r="N40" i="1" s="1"/>
  <c r="A46" i="1"/>
  <c r="N46" i="1" s="1" a="1"/>
  <c r="N46" i="1" s="1"/>
  <c r="A52" i="1"/>
  <c r="N52" i="1" s="1" a="1"/>
  <c r="N52" i="1" s="1"/>
  <c r="A58" i="1"/>
  <c r="N58" i="1" s="1" a="1"/>
  <c r="N58" i="1" s="1"/>
  <c r="A64" i="1"/>
  <c r="N64" i="1" s="1" a="1"/>
  <c r="N64" i="1" s="1"/>
  <c r="A70" i="1"/>
  <c r="N70" i="1" s="1" a="1"/>
  <c r="N70" i="1" s="1"/>
  <c r="A5" i="1"/>
  <c r="N5" i="1" s="1" a="1"/>
  <c r="N5" i="1" s="1"/>
  <c r="A11" i="1"/>
  <c r="N11" i="1" s="1" a="1"/>
  <c r="N11" i="1" s="1"/>
  <c r="A23" i="1"/>
  <c r="N23" i="1" s="1" a="1"/>
  <c r="N23" i="1" s="1"/>
  <c r="A35" i="1"/>
  <c r="N35" i="1" s="1" a="1"/>
  <c r="N35" i="1" s="1"/>
  <c r="A47" i="1"/>
  <c r="N47" i="1" s="1" a="1"/>
  <c r="N47" i="1" s="1"/>
  <c r="A59" i="1"/>
  <c r="N59" i="1" s="1" a="1"/>
  <c r="N59" i="1" s="1"/>
  <c r="A6" i="1"/>
  <c r="N6" i="1" s="1" a="1"/>
  <c r="N6" i="1" s="1"/>
  <c r="A12" i="1"/>
  <c r="N12" i="1" s="1" a="1"/>
  <c r="N12" i="1" s="1"/>
  <c r="A18" i="1"/>
  <c r="N18" i="1" s="1" a="1"/>
  <c r="N18" i="1" s="1"/>
  <c r="A24" i="1"/>
  <c r="N24" i="1" s="1" a="1"/>
  <c r="N24" i="1" s="1"/>
  <c r="A30" i="1"/>
  <c r="N30" i="1" s="1" a="1"/>
  <c r="N30" i="1" s="1"/>
  <c r="A36" i="1"/>
  <c r="N36" i="1" s="1" a="1"/>
  <c r="N36" i="1" s="1"/>
  <c r="A42" i="1"/>
  <c r="N42" i="1" s="1" a="1"/>
  <c r="N42" i="1" s="1"/>
  <c r="A48" i="1"/>
  <c r="N48" i="1" s="1" a="1"/>
  <c r="N48" i="1" s="1"/>
  <c r="A54" i="1"/>
  <c r="N54" i="1" s="1" a="1"/>
  <c r="N54" i="1" s="1"/>
  <c r="A66" i="1"/>
  <c r="N66" i="1" s="1" a="1"/>
  <c r="N66" i="1" s="1"/>
  <c r="N9" i="1" a="1"/>
  <c r="N9" i="1" s="1"/>
  <c r="N17" i="1" a="1"/>
  <c r="N17" i="1" s="1"/>
  <c r="N21" i="1" a="1"/>
  <c r="N21" i="1" s="1"/>
  <c r="N29" i="1" a="1"/>
  <c r="N29" i="1" s="1"/>
  <c r="N34" i="1" a="1"/>
  <c r="N34" i="1" s="1"/>
  <c r="N38" i="1" a="1"/>
  <c r="N38" i="1" s="1"/>
  <c r="N41" i="1" a="1"/>
  <c r="N41" i="1" s="1"/>
  <c r="N45" i="1" a="1"/>
  <c r="N45" i="1" s="1"/>
  <c r="N53" i="1" a="1"/>
  <c r="N53" i="1" s="1"/>
  <c r="N56" i="1" a="1"/>
  <c r="N56" i="1" s="1"/>
  <c r="N60" i="1" a="1"/>
  <c r="N60" i="1" s="1"/>
  <c r="N63" i="1" a="1"/>
  <c r="N63" i="1" s="1"/>
  <c r="N65" i="1" a="1"/>
  <c r="N65" i="1" s="1"/>
  <c r="N68" i="1" a="1"/>
  <c r="N68" i="1" s="1"/>
  <c r="N71" i="1" a="1"/>
  <c r="N71" i="1" s="1"/>
  <c r="A7" i="1"/>
  <c r="N7" i="1" s="1" a="1"/>
  <c r="N7" i="1" s="1"/>
  <c r="A13" i="1"/>
  <c r="N13" i="1" s="1" a="1"/>
  <c r="N13" i="1" s="1"/>
  <c r="A19" i="1"/>
  <c r="N19" i="1" s="1" a="1"/>
  <c r="N19" i="1" s="1"/>
  <c r="A25" i="1"/>
  <c r="N25" i="1" s="1" a="1"/>
  <c r="N25" i="1" s="1"/>
  <c r="A31" i="1"/>
  <c r="N31" i="1" s="1" a="1"/>
  <c r="N31" i="1" s="1"/>
  <c r="A37" i="1"/>
  <c r="N37" i="1" s="1" a="1"/>
  <c r="N37" i="1" s="1"/>
  <c r="A43" i="1"/>
  <c r="N43" i="1" s="1" a="1"/>
  <c r="N43" i="1" s="1"/>
  <c r="A49" i="1"/>
  <c r="N49" i="1" s="1" a="1"/>
  <c r="N49" i="1" s="1"/>
  <c r="A55" i="1"/>
  <c r="N55" i="1" s="1" a="1"/>
  <c r="N55" i="1" s="1"/>
  <c r="A61" i="1"/>
  <c r="N61" i="1" s="1" a="1"/>
  <c r="N61" i="1" s="1"/>
  <c r="A67" i="1"/>
  <c r="N67" i="1" s="1" a="1"/>
  <c r="N67" i="1" s="1"/>
  <c r="A73" i="1"/>
  <c r="N73" i="1" s="1" a="1"/>
  <c r="N73" i="1" s="1"/>
  <c r="N72" i="1" a="1"/>
  <c r="N72" i="1" s="1"/>
  <c r="N2" i="1" l="1" a="1"/>
  <c r="N2" i="1" s="1"/>
  <c r="N4" i="1" a="1"/>
  <c r="N4" i="1" s="1"/>
  <c r="N3" i="1" a="1"/>
  <c r="N3" i="1" s="1"/>
  <c r="N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<sst xmlns="http://schemas.openxmlformats.org/spreadsheetml/2006/main" count="808" uniqueCount="115">
  <si>
    <t>SchNo</t>
    <phoneticPr fontId="1"/>
  </si>
  <si>
    <t>SdNo</t>
    <phoneticPr fontId="1"/>
  </si>
  <si>
    <t>SdName</t>
    <phoneticPr fontId="1"/>
  </si>
  <si>
    <t>Floor</t>
    <phoneticPr fontId="1"/>
  </si>
  <si>
    <t>Symbol</t>
    <phoneticPr fontId="1"/>
  </si>
  <si>
    <t>ItemName</t>
    <phoneticPr fontId="1"/>
  </si>
  <si>
    <t>Qty</t>
    <phoneticPr fontId="1"/>
  </si>
  <si>
    <t>StartTime</t>
    <phoneticPr fontId="1"/>
  </si>
  <si>
    <t>EndTime</t>
    <phoneticPr fontId="1"/>
  </si>
  <si>
    <t>Remark1</t>
    <phoneticPr fontId="1"/>
  </si>
  <si>
    <t>Remark2</t>
    <phoneticPr fontId="1"/>
  </si>
  <si>
    <t>SchDate</t>
    <phoneticPr fontId="1"/>
  </si>
  <si>
    <t>Line</t>
    <phoneticPr fontId="1"/>
  </si>
  <si>
    <t>前組2</t>
    <rPh sb="0" eb="2">
      <t>マエグミ</t>
    </rPh>
    <phoneticPr fontId="0"/>
  </si>
  <si>
    <t>S2602671</t>
  </si>
  <si>
    <t>所沢市小手指一丁目計画</t>
  </si>
  <si>
    <t>1F</t>
  </si>
  <si>
    <t>SD-115</t>
  </si>
  <si>
    <t>親</t>
  </si>
  <si>
    <t>枠</t>
  </si>
  <si>
    <t>R</t>
  </si>
  <si>
    <t>8:40</t>
  </si>
  <si>
    <t>11:05</t>
  </si>
  <si>
    <t>曲げ遅れにより中断</t>
    <rPh sb="0" eb="1">
      <t>マ</t>
    </rPh>
    <rPh sb="2" eb="3">
      <t>オク</t>
    </rPh>
    <rPh sb="7" eb="9">
      <t>チュウダン</t>
    </rPh>
    <phoneticPr fontId="0"/>
  </si>
  <si>
    <t>3F</t>
  </si>
  <si>
    <t>SD-301</t>
  </si>
  <si>
    <t>L</t>
  </si>
  <si>
    <t>11:25</t>
  </si>
  <si>
    <t>14:25</t>
  </si>
  <si>
    <t>S2602674</t>
  </si>
  <si>
    <t>特別養護老人ホーム</t>
  </si>
  <si>
    <t>2F</t>
  </si>
  <si>
    <t>SD-31-1</t>
  </si>
  <si>
    <t>14:45</t>
  </si>
  <si>
    <t>15:30</t>
  </si>
  <si>
    <t>作業者に指示出し等で段取り時間増</t>
    <rPh sb="0" eb="3">
      <t>サギョウシャ</t>
    </rPh>
    <rPh sb="4" eb="7">
      <t>シジダ</t>
    </rPh>
    <rPh sb="8" eb="9">
      <t>ナド</t>
    </rPh>
    <rPh sb="10" eb="12">
      <t>ダンド</t>
    </rPh>
    <rPh sb="13" eb="15">
      <t>ジカン</t>
    </rPh>
    <rPh sb="15" eb="16">
      <t>ゾウ</t>
    </rPh>
    <phoneticPr fontId="0"/>
  </si>
  <si>
    <t>作業時間合計95分</t>
    <rPh sb="0" eb="4">
      <t>サギョウジカン</t>
    </rPh>
    <rPh sb="4" eb="6">
      <t>ゴウケイ</t>
    </rPh>
    <rPh sb="8" eb="9">
      <t>フン</t>
    </rPh>
    <phoneticPr fontId="0"/>
  </si>
  <si>
    <t>作業時間合計115分</t>
    <rPh sb="0" eb="4">
      <t>サギョウジカン</t>
    </rPh>
    <rPh sb="4" eb="6">
      <t>ゴウケイ</t>
    </rPh>
    <rPh sb="9" eb="10">
      <t>フン</t>
    </rPh>
    <phoneticPr fontId="0"/>
  </si>
  <si>
    <t>15:35</t>
  </si>
  <si>
    <t>16:05</t>
  </si>
  <si>
    <t>4F</t>
  </si>
  <si>
    <t>16:10</t>
  </si>
  <si>
    <t>16:40</t>
  </si>
  <si>
    <t>SD-31-4</t>
  </si>
  <si>
    <t>17:00</t>
  </si>
  <si>
    <t>17:40</t>
  </si>
  <si>
    <t>森山と共同製作 作業時間合計25分</t>
    <rPh sb="0" eb="2">
      <t>モリヤマ</t>
    </rPh>
    <rPh sb="3" eb="7">
      <t>キョウドウセイサク</t>
    </rPh>
    <rPh sb="8" eb="12">
      <t>サギョウジカン</t>
    </rPh>
    <rPh sb="12" eb="14">
      <t>ゴウケイ</t>
    </rPh>
    <rPh sb="16" eb="17">
      <t>フン</t>
    </rPh>
    <phoneticPr fontId="0"/>
  </si>
  <si>
    <t>17:45</t>
  </si>
  <si>
    <t>18:15</t>
  </si>
  <si>
    <t>18:20</t>
  </si>
  <si>
    <t>18:50</t>
  </si>
  <si>
    <t>森山へ</t>
    <rPh sb="0" eb="2">
      <t>モリヤマ</t>
    </rPh>
    <phoneticPr fontId="0"/>
  </si>
  <si>
    <t>前組4</t>
    <rPh sb="0" eb="2">
      <t>マエグミ</t>
    </rPh>
    <phoneticPr fontId="0"/>
  </si>
  <si>
    <t>SD-31</t>
  </si>
  <si>
    <t>9:30</t>
  </si>
  <si>
    <t>下枠曲げ遅れにより中断</t>
    <rPh sb="0" eb="2">
      <t>シタワク</t>
    </rPh>
    <rPh sb="2" eb="3">
      <t>マ</t>
    </rPh>
    <rPh sb="4" eb="5">
      <t>オク</t>
    </rPh>
    <rPh sb="9" eb="11">
      <t>チュウダン</t>
    </rPh>
    <phoneticPr fontId="0"/>
  </si>
  <si>
    <t>9:35</t>
  </si>
  <si>
    <t>10:05</t>
  </si>
  <si>
    <t>10:10</t>
  </si>
  <si>
    <t>10:45</t>
  </si>
  <si>
    <t>10:50</t>
  </si>
  <si>
    <t>11:20</t>
  </si>
  <si>
    <t>11:55</t>
  </si>
  <si>
    <t>12:00</t>
  </si>
  <si>
    <t>13:30</t>
  </si>
  <si>
    <t>13:35</t>
  </si>
  <si>
    <t>14:05</t>
  </si>
  <si>
    <t>14:10</t>
  </si>
  <si>
    <t>14:40</t>
  </si>
  <si>
    <t>16:45</t>
  </si>
  <si>
    <t>17:15</t>
  </si>
  <si>
    <t>作業時間合計55分</t>
    <rPh sb="0" eb="4">
      <t>サギョウジカン</t>
    </rPh>
    <rPh sb="4" eb="6">
      <t>ゴウケイ</t>
    </rPh>
    <rPh sb="8" eb="9">
      <t>フン</t>
    </rPh>
    <phoneticPr fontId="0"/>
  </si>
  <si>
    <t>作業時間合計20分</t>
    <rPh sb="0" eb="4">
      <t>サギョウジカン</t>
    </rPh>
    <rPh sb="4" eb="6">
      <t>ゴウケイ</t>
    </rPh>
    <rPh sb="8" eb="9">
      <t>フン</t>
    </rPh>
    <phoneticPr fontId="0"/>
  </si>
  <si>
    <t>作業時間合計30分</t>
    <rPh sb="0" eb="4">
      <t>サギョウジカン</t>
    </rPh>
    <rPh sb="4" eb="6">
      <t>ゴウケイ</t>
    </rPh>
    <rPh sb="8" eb="9">
      <t>フン</t>
    </rPh>
    <phoneticPr fontId="0"/>
  </si>
  <si>
    <t>作業時間合計25分</t>
    <rPh sb="0" eb="4">
      <t>サギョウジカン</t>
    </rPh>
    <rPh sb="4" eb="6">
      <t>ゴウケイ</t>
    </rPh>
    <rPh sb="8" eb="9">
      <t>フン</t>
    </rPh>
    <phoneticPr fontId="0"/>
  </si>
  <si>
    <t>作業時間合計15分</t>
    <rPh sb="0" eb="4">
      <t>サギョウジカン</t>
    </rPh>
    <rPh sb="4" eb="6">
      <t>ゴウケイ</t>
    </rPh>
    <rPh sb="8" eb="9">
      <t>フン</t>
    </rPh>
    <phoneticPr fontId="0"/>
  </si>
  <si>
    <t>S2602592</t>
  </si>
  <si>
    <t>TOK1__E__210-E520＿I</t>
  </si>
  <si>
    <t>E01SP-1A</t>
  </si>
  <si>
    <t>17:35</t>
  </si>
  <si>
    <t>18:25</t>
  </si>
  <si>
    <t>19:05</t>
  </si>
  <si>
    <t>小林分 小林と共同製作</t>
    <rPh sb="0" eb="2">
      <t>コバヤシ</t>
    </rPh>
    <rPh sb="2" eb="3">
      <t>ブン</t>
    </rPh>
    <rPh sb="4" eb="6">
      <t>コバヤシ</t>
    </rPh>
    <rPh sb="7" eb="11">
      <t>キョウドウセイサク</t>
    </rPh>
    <phoneticPr fontId="0"/>
  </si>
  <si>
    <t>小林分</t>
    <rPh sb="0" eb="2">
      <t>コバヤシ</t>
    </rPh>
    <rPh sb="2" eb="3">
      <t>ブン</t>
    </rPh>
    <phoneticPr fontId="0"/>
  </si>
  <si>
    <t>前組6</t>
    <rPh sb="0" eb="2">
      <t>マエグミ</t>
    </rPh>
    <phoneticPr fontId="0"/>
  </si>
  <si>
    <t>SD-31-2</t>
  </si>
  <si>
    <t>作業時間合計105分</t>
    <rPh sb="0" eb="4">
      <t>サギョウジカン</t>
    </rPh>
    <rPh sb="4" eb="6">
      <t>ゴウケイ</t>
    </rPh>
    <rPh sb="9" eb="10">
      <t>フン</t>
    </rPh>
    <phoneticPr fontId="0"/>
  </si>
  <si>
    <t>作業時間合計45分</t>
    <rPh sb="0" eb="4">
      <t>サギョウジカン</t>
    </rPh>
    <rPh sb="4" eb="6">
      <t>ゴウケイ</t>
    </rPh>
    <rPh sb="8" eb="9">
      <t>フン</t>
    </rPh>
    <phoneticPr fontId="0"/>
  </si>
  <si>
    <t>作業時間合計35分</t>
    <rPh sb="0" eb="4">
      <t>サギョウジカン</t>
    </rPh>
    <rPh sb="4" eb="6">
      <t>ゴウケイ</t>
    </rPh>
    <rPh sb="8" eb="9">
      <t>フン</t>
    </rPh>
    <phoneticPr fontId="0"/>
  </si>
  <si>
    <t>E01SP-1</t>
  </si>
  <si>
    <t>本組春木分</t>
    <rPh sb="0" eb="2">
      <t>ホングミ</t>
    </rPh>
    <rPh sb="2" eb="4">
      <t>ハルキ</t>
    </rPh>
    <rPh sb="4" eb="5">
      <t>ブン</t>
    </rPh>
    <phoneticPr fontId="0"/>
  </si>
  <si>
    <t>木村分</t>
    <rPh sb="0" eb="2">
      <t>キムラ</t>
    </rPh>
    <rPh sb="2" eb="3">
      <t>ブン</t>
    </rPh>
    <phoneticPr fontId="0"/>
  </si>
  <si>
    <t>前組7</t>
    <rPh sb="0" eb="2">
      <t>マエグミ</t>
    </rPh>
    <phoneticPr fontId="0"/>
  </si>
  <si>
    <t>SD-213</t>
  </si>
  <si>
    <t>13:05</t>
  </si>
  <si>
    <t>曲げ未完了により中断</t>
    <rPh sb="0" eb="1">
      <t>マ</t>
    </rPh>
    <rPh sb="2" eb="5">
      <t>ミカンリョウ</t>
    </rPh>
    <rPh sb="8" eb="10">
      <t>チュウダン</t>
    </rPh>
    <phoneticPr fontId="0"/>
  </si>
  <si>
    <t>SD-253</t>
  </si>
  <si>
    <t>13:25</t>
  </si>
  <si>
    <t>作業時間合計240分</t>
    <rPh sb="0" eb="4">
      <t>サギョウジカン</t>
    </rPh>
    <rPh sb="4" eb="6">
      <t>ゴウケイ</t>
    </rPh>
    <rPh sb="9" eb="10">
      <t>フン</t>
    </rPh>
    <phoneticPr fontId="0"/>
  </si>
  <si>
    <t>SD-31A</t>
  </si>
  <si>
    <t>19:00</t>
  </si>
  <si>
    <t>19:50</t>
  </si>
  <si>
    <t>吉田へ</t>
    <rPh sb="0" eb="2">
      <t>ヨシダ</t>
    </rPh>
    <phoneticPr fontId="0"/>
  </si>
  <si>
    <t>予定日</t>
    <rPh sb="0" eb="3">
      <t>ヨテイビ</t>
    </rPh>
    <phoneticPr fontId="0"/>
  </si>
  <si>
    <t>ﾗｲﾝ</t>
  </si>
  <si>
    <t>SD製番</t>
  </si>
  <si>
    <t>受注件名</t>
    <rPh sb="0" eb="2">
      <t>ジュチュウ</t>
    </rPh>
    <rPh sb="2" eb="4">
      <t>ケンメイ</t>
    </rPh>
    <phoneticPr fontId="0"/>
  </si>
  <si>
    <t>ﾌﾛｱ</t>
  </si>
  <si>
    <t>建具符号</t>
    <rPh sb="0" eb="2">
      <t>タテグ</t>
    </rPh>
    <rPh sb="2" eb="4">
      <t>フゴウ</t>
    </rPh>
    <phoneticPr fontId="0"/>
  </si>
  <si>
    <t>区分</t>
    <rPh sb="0" eb="2">
      <t>クブン</t>
    </rPh>
    <phoneticPr fontId="0"/>
  </si>
  <si>
    <t>数量</t>
    <rPh sb="0" eb="2">
      <t>スウリョウ</t>
    </rPh>
    <phoneticPr fontId="0"/>
  </si>
  <si>
    <t>開始</t>
    <rPh sb="0" eb="2">
      <t>カイシ</t>
    </rPh>
    <phoneticPr fontId="0"/>
  </si>
  <si>
    <t>終了</t>
    <rPh sb="0" eb="2">
      <t>シュウリョウ</t>
    </rPh>
    <phoneticPr fontId="0"/>
  </si>
  <si>
    <t>備考</t>
    <rPh sb="0" eb="2">
      <t>ビコウ</t>
    </rPh>
    <phoneticPr fontId="0"/>
  </si>
  <si>
    <t>金額</t>
    <rPh sb="0" eb="2">
      <t>キンガク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</si>
</sst>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FD9A-4B24-428E-A2FD-C4CA51F4E220}">
  <dimension ref="A1:N73"/>
  <sheetViews>
    <sheetView tabSelected="1" workbookViewId="0">
      <selection activeCell="A2" sqref="A2"/>
    </sheetView>
  </sheetViews>
  <sheetFormatPr defaultRowHeight="13.5" x14ac:dyDescent="0.15"/>
  <cols>
    <col min="1" max="1" width="10.5" bestFit="1" customWidth="1"/>
  </cols>
  <sheetData>
    <row r="1" spans="1:14" x14ac:dyDescent="0.1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109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</row>
    <row r="2" spans="1:14" x14ac:dyDescent="0.15">
      <c r="A2" s="3">
        <v>46258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t="s">
        <v>21</v>
      </c>
      <c r="L2" t="s">
        <v>22</v>
      </c>
      <c r="M2" t="s">
        <v>23</v>
      </c>
    </row>
    <row r="3" spans="1:14" x14ac:dyDescent="0.15">
      <c r="A3" s="3">
        <v>46258</v>
      </c>
      <c r="B3" t="s">
        <v>13</v>
      </c>
      <c r="C3" t="s">
        <v>14</v>
      </c>
      <c r="D3" t="s">
        <v>15</v>
      </c>
      <c r="E3" t="s">
        <v>24</v>
      </c>
      <c r="F3" t="s">
        <v>25</v>
      </c>
      <c r="G3" t="s">
        <v>18</v>
      </c>
      <c r="H3" t="s">
        <v>19</v>
      </c>
      <c r="I3" t="s">
        <v>26</v>
      </c>
      <c r="J3">
        <v>1</v>
      </c>
      <c r="K3" t="s">
        <v>27</v>
      </c>
      <c r="L3" t="s">
        <v>28</v>
      </c>
      <c r="M3" t="s">
        <v>23</v>
      </c>
    </row>
    <row r="4" spans="1:14" x14ac:dyDescent="0.15">
      <c r="A4" s="3">
        <v>46258</v>
      </c>
      <c r="B4" t="s">
        <v>13</v>
      </c>
      <c r="C4" t="s">
        <v>29</v>
      </c>
      <c r="D4" t="s">
        <v>30</v>
      </c>
      <c r="E4" t="s">
        <v>31</v>
      </c>
      <c r="F4" t="s">
        <v>32</v>
      </c>
      <c r="G4" t="s">
        <v>18</v>
      </c>
      <c r="H4" t="s">
        <v>19</v>
      </c>
      <c r="I4" t="s">
        <v>20</v>
      </c>
      <c r="J4">
        <v>1</v>
      </c>
      <c r="K4" t="s">
        <v>33</v>
      </c>
      <c r="L4" t="s">
        <v>34</v>
      </c>
      <c r="M4" t="s">
        <v>35</v>
      </c>
      <c r="N4">
        <v>15600</v>
      </c>
    </row>
    <row r="5" spans="1:14" x14ac:dyDescent="0.15">
      <c r="A5" s="3">
        <v>46258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K5" t="s">
        <v>34</v>
      </c>
      <c r="L5" t="s">
        <v>34</v>
      </c>
      <c r="M5" t="s">
        <v>36</v>
      </c>
      <c r="N5">
        <v>78000</v>
      </c>
    </row>
    <row r="6" spans="1:14" x14ac:dyDescent="0.15">
      <c r="A6" s="3">
        <v>46258</v>
      </c>
      <c r="B6" t="s">
        <v>13</v>
      </c>
      <c r="C6" t="s">
        <v>14</v>
      </c>
      <c r="D6" t="s">
        <v>15</v>
      </c>
      <c r="E6" t="s">
        <v>24</v>
      </c>
      <c r="F6" t="s">
        <v>25</v>
      </c>
      <c r="G6" t="s">
        <v>18</v>
      </c>
      <c r="H6" t="s">
        <v>19</v>
      </c>
      <c r="I6" t="s">
        <v>26</v>
      </c>
      <c r="K6" t="s">
        <v>34</v>
      </c>
      <c r="L6" t="s">
        <v>34</v>
      </c>
      <c r="M6" t="s">
        <v>37</v>
      </c>
      <c r="N6">
        <v>73800</v>
      </c>
    </row>
    <row r="7" spans="1:14" x14ac:dyDescent="0.15">
      <c r="A7" s="3">
        <v>46258</v>
      </c>
      <c r="B7" t="s">
        <v>13</v>
      </c>
      <c r="C7" t="s">
        <v>29</v>
      </c>
      <c r="D7" t="s">
        <v>30</v>
      </c>
      <c r="E7" t="s">
        <v>24</v>
      </c>
      <c r="F7" t="s">
        <v>32</v>
      </c>
      <c r="G7" t="s">
        <v>18</v>
      </c>
      <c r="H7" t="s">
        <v>19</v>
      </c>
      <c r="I7" t="s">
        <v>20</v>
      </c>
      <c r="J7">
        <v>1</v>
      </c>
      <c r="K7" t="s">
        <v>38</v>
      </c>
      <c r="L7" t="s">
        <v>39</v>
      </c>
      <c r="N7">
        <v>15600</v>
      </c>
    </row>
    <row r="8" spans="1:14" x14ac:dyDescent="0.15">
      <c r="A8" s="3">
        <v>46258</v>
      </c>
      <c r="B8" t="s">
        <v>13</v>
      </c>
      <c r="C8" t="s">
        <v>29</v>
      </c>
      <c r="D8" t="s">
        <v>30</v>
      </c>
      <c r="E8" t="s">
        <v>40</v>
      </c>
      <c r="F8" t="s">
        <v>32</v>
      </c>
      <c r="G8" t="s">
        <v>18</v>
      </c>
      <c r="H8" t="s">
        <v>19</v>
      </c>
      <c r="I8" t="s">
        <v>20</v>
      </c>
      <c r="J8">
        <v>1</v>
      </c>
      <c r="K8" t="s">
        <v>41</v>
      </c>
      <c r="L8" t="s">
        <v>42</v>
      </c>
      <c r="N8">
        <v>15600</v>
      </c>
    </row>
    <row r="9" spans="1:14" x14ac:dyDescent="0.15">
      <c r="A9" s="3">
        <v>46258</v>
      </c>
      <c r="B9" t="s">
        <v>13</v>
      </c>
      <c r="C9" t="s">
        <v>29</v>
      </c>
      <c r="D9" t="s">
        <v>30</v>
      </c>
      <c r="E9" t="s">
        <v>31</v>
      </c>
      <c r="F9" t="s">
        <v>43</v>
      </c>
      <c r="G9" t="s">
        <v>18</v>
      </c>
      <c r="H9" t="s">
        <v>19</v>
      </c>
      <c r="I9" t="s">
        <v>26</v>
      </c>
      <c r="J9">
        <v>1</v>
      </c>
      <c r="K9" t="s">
        <v>44</v>
      </c>
      <c r="L9" t="s">
        <v>45</v>
      </c>
      <c r="M9" t="s">
        <v>46</v>
      </c>
      <c r="N9">
        <v>15100</v>
      </c>
    </row>
    <row r="10" spans="1:14" x14ac:dyDescent="0.15">
      <c r="A10" s="3">
        <v>46258</v>
      </c>
      <c r="B10" t="s">
        <v>13</v>
      </c>
      <c r="C10" t="s">
        <v>29</v>
      </c>
      <c r="D10" t="s">
        <v>30</v>
      </c>
      <c r="E10" t="s">
        <v>24</v>
      </c>
      <c r="F10" t="s">
        <v>43</v>
      </c>
      <c r="G10" t="s">
        <v>18</v>
      </c>
      <c r="H10" t="s">
        <v>19</v>
      </c>
      <c r="I10" t="s">
        <v>26</v>
      </c>
      <c r="J10">
        <v>1</v>
      </c>
      <c r="K10" t="s">
        <v>47</v>
      </c>
      <c r="L10" t="s">
        <v>48</v>
      </c>
      <c r="M10" t="s">
        <v>46</v>
      </c>
      <c r="N10">
        <v>15100</v>
      </c>
    </row>
    <row r="11" spans="1:14" x14ac:dyDescent="0.15">
      <c r="A11" s="3">
        <v>46258</v>
      </c>
      <c r="B11" t="s">
        <v>13</v>
      </c>
      <c r="C11" t="s">
        <v>29</v>
      </c>
      <c r="D11" t="s">
        <v>30</v>
      </c>
      <c r="E11" t="s">
        <v>40</v>
      </c>
      <c r="F11" t="s">
        <v>43</v>
      </c>
      <c r="G11" t="s">
        <v>18</v>
      </c>
      <c r="H11" t="s">
        <v>19</v>
      </c>
      <c r="I11" t="s">
        <v>26</v>
      </c>
      <c r="J11">
        <v>1</v>
      </c>
      <c r="K11" t="s">
        <v>49</v>
      </c>
      <c r="L11" t="s">
        <v>50</v>
      </c>
      <c r="M11" t="s">
        <v>51</v>
      </c>
      <c r="N11">
        <v>15100</v>
      </c>
    </row>
    <row r="12" spans="1:14" x14ac:dyDescent="0.15">
      <c r="A12" s="3">
        <v>46258</v>
      </c>
      <c r="B12" t="s">
        <v>52</v>
      </c>
      <c r="C12" t="s">
        <v>29</v>
      </c>
      <c r="D12" t="s">
        <v>30</v>
      </c>
      <c r="E12" t="s">
        <v>31</v>
      </c>
      <c r="F12" t="s">
        <v>53</v>
      </c>
      <c r="G12" t="s">
        <v>18</v>
      </c>
      <c r="H12" t="s">
        <v>19</v>
      </c>
      <c r="I12" t="s">
        <v>20</v>
      </c>
      <c r="J12">
        <v>1</v>
      </c>
      <c r="K12" t="s">
        <v>21</v>
      </c>
      <c r="L12" t="s">
        <v>54</v>
      </c>
      <c r="M12" t="s">
        <v>55</v>
      </c>
    </row>
    <row r="13" spans="1:14" x14ac:dyDescent="0.15">
      <c r="A13" s="3">
        <v>46258</v>
      </c>
      <c r="B13" t="s">
        <v>52</v>
      </c>
      <c r="C13" t="s">
        <v>29</v>
      </c>
      <c r="D13" t="s">
        <v>30</v>
      </c>
      <c r="E13" t="s">
        <v>31</v>
      </c>
      <c r="F13" t="s">
        <v>53</v>
      </c>
      <c r="G13" t="s">
        <v>18</v>
      </c>
      <c r="H13" t="s">
        <v>19</v>
      </c>
      <c r="I13" t="s">
        <v>20</v>
      </c>
      <c r="J13">
        <v>1</v>
      </c>
      <c r="K13" t="s">
        <v>56</v>
      </c>
      <c r="L13" t="s">
        <v>57</v>
      </c>
      <c r="M13" t="s">
        <v>55</v>
      </c>
    </row>
    <row r="14" spans="1:14" x14ac:dyDescent="0.15">
      <c r="A14" s="3">
        <v>46258</v>
      </c>
      <c r="B14" t="s">
        <v>52</v>
      </c>
      <c r="C14" t="s">
        <v>29</v>
      </c>
      <c r="D14" t="s">
        <v>30</v>
      </c>
      <c r="E14" t="s">
        <v>31</v>
      </c>
      <c r="F14" t="s">
        <v>53</v>
      </c>
      <c r="G14" t="s">
        <v>18</v>
      </c>
      <c r="H14" t="s">
        <v>19</v>
      </c>
      <c r="I14" t="s">
        <v>20</v>
      </c>
      <c r="J14">
        <v>1</v>
      </c>
      <c r="K14" t="s">
        <v>58</v>
      </c>
      <c r="L14" t="s">
        <v>59</v>
      </c>
      <c r="M14" t="s">
        <v>55</v>
      </c>
    </row>
    <row r="15" spans="1:14" x14ac:dyDescent="0.15">
      <c r="A15" s="3">
        <v>46258</v>
      </c>
      <c r="B15" t="s">
        <v>52</v>
      </c>
      <c r="C15" t="s">
        <v>29</v>
      </c>
      <c r="D15" t="s">
        <v>30</v>
      </c>
      <c r="E15" t="s">
        <v>31</v>
      </c>
      <c r="F15" t="s">
        <v>53</v>
      </c>
      <c r="G15" t="s">
        <v>18</v>
      </c>
      <c r="H15" t="s">
        <v>19</v>
      </c>
      <c r="I15" t="s">
        <v>26</v>
      </c>
      <c r="J15">
        <v>1</v>
      </c>
      <c r="K15" t="s">
        <v>60</v>
      </c>
      <c r="L15" t="s">
        <v>61</v>
      </c>
      <c r="M15" t="s">
        <v>55</v>
      </c>
    </row>
    <row r="16" spans="1:14" x14ac:dyDescent="0.15">
      <c r="A16" s="3">
        <v>46258</v>
      </c>
      <c r="B16" t="s">
        <v>52</v>
      </c>
      <c r="C16" t="s">
        <v>29</v>
      </c>
      <c r="D16" t="s">
        <v>30</v>
      </c>
      <c r="E16" t="s">
        <v>24</v>
      </c>
      <c r="F16" t="s">
        <v>53</v>
      </c>
      <c r="G16" t="s">
        <v>18</v>
      </c>
      <c r="H16" t="s">
        <v>19</v>
      </c>
      <c r="I16" t="s">
        <v>20</v>
      </c>
      <c r="J16">
        <v>1</v>
      </c>
      <c r="K16" t="s">
        <v>27</v>
      </c>
      <c r="L16" t="s">
        <v>62</v>
      </c>
      <c r="M16" t="s">
        <v>55</v>
      </c>
    </row>
    <row r="17" spans="1:14" x14ac:dyDescent="0.15">
      <c r="A17" s="3">
        <v>46258</v>
      </c>
      <c r="B17" t="s">
        <v>52</v>
      </c>
      <c r="C17" t="s">
        <v>29</v>
      </c>
      <c r="D17" t="s">
        <v>30</v>
      </c>
      <c r="E17" t="s">
        <v>24</v>
      </c>
      <c r="F17" t="s">
        <v>53</v>
      </c>
      <c r="G17" t="s">
        <v>18</v>
      </c>
      <c r="H17" t="s">
        <v>19</v>
      </c>
      <c r="I17" t="s">
        <v>20</v>
      </c>
      <c r="J17">
        <v>1</v>
      </c>
      <c r="K17" t="s">
        <v>63</v>
      </c>
      <c r="L17" t="s">
        <v>64</v>
      </c>
      <c r="M17" t="s">
        <v>55</v>
      </c>
    </row>
    <row r="18" spans="1:14" x14ac:dyDescent="0.15">
      <c r="A18" s="3">
        <v>46258</v>
      </c>
      <c r="B18" t="s">
        <v>52</v>
      </c>
      <c r="C18" t="s">
        <v>29</v>
      </c>
      <c r="D18" t="s">
        <v>30</v>
      </c>
      <c r="E18" t="s">
        <v>24</v>
      </c>
      <c r="F18" t="s">
        <v>53</v>
      </c>
      <c r="G18" t="s">
        <v>18</v>
      </c>
      <c r="H18" t="s">
        <v>19</v>
      </c>
      <c r="I18" t="s">
        <v>20</v>
      </c>
      <c r="J18">
        <v>1</v>
      </c>
      <c r="K18" t="s">
        <v>65</v>
      </c>
      <c r="L18" t="s">
        <v>66</v>
      </c>
      <c r="M18" t="s">
        <v>55</v>
      </c>
    </row>
    <row r="19" spans="1:14" x14ac:dyDescent="0.15">
      <c r="A19" s="3">
        <v>46258</v>
      </c>
      <c r="B19" t="s">
        <v>52</v>
      </c>
      <c r="C19" t="s">
        <v>29</v>
      </c>
      <c r="D19" t="s">
        <v>30</v>
      </c>
      <c r="E19" t="s">
        <v>24</v>
      </c>
      <c r="F19" t="s">
        <v>53</v>
      </c>
      <c r="G19" t="s">
        <v>18</v>
      </c>
      <c r="H19" t="s">
        <v>19</v>
      </c>
      <c r="I19" t="s">
        <v>26</v>
      </c>
      <c r="J19">
        <v>1</v>
      </c>
      <c r="K19" t="s">
        <v>67</v>
      </c>
      <c r="L19" t="s">
        <v>68</v>
      </c>
      <c r="M19" t="s">
        <v>55</v>
      </c>
    </row>
    <row r="20" spans="1:14" x14ac:dyDescent="0.15">
      <c r="A20" s="3">
        <v>46258</v>
      </c>
      <c r="B20" t="s">
        <v>52</v>
      </c>
      <c r="C20" t="s">
        <v>29</v>
      </c>
      <c r="D20" t="s">
        <v>30</v>
      </c>
      <c r="E20" t="s">
        <v>40</v>
      </c>
      <c r="F20" t="s">
        <v>53</v>
      </c>
      <c r="G20" t="s">
        <v>18</v>
      </c>
      <c r="H20" t="s">
        <v>19</v>
      </c>
      <c r="I20" t="s">
        <v>20</v>
      </c>
      <c r="J20">
        <v>1</v>
      </c>
      <c r="K20" t="s">
        <v>33</v>
      </c>
      <c r="L20" t="s">
        <v>34</v>
      </c>
      <c r="M20" t="s">
        <v>55</v>
      </c>
    </row>
    <row r="21" spans="1:14" x14ac:dyDescent="0.15">
      <c r="A21" s="3">
        <v>46258</v>
      </c>
      <c r="B21" t="s">
        <v>52</v>
      </c>
      <c r="C21" t="s">
        <v>29</v>
      </c>
      <c r="D21" t="s">
        <v>30</v>
      </c>
      <c r="E21" t="s">
        <v>40</v>
      </c>
      <c r="F21" t="s">
        <v>53</v>
      </c>
      <c r="G21" t="s">
        <v>18</v>
      </c>
      <c r="H21" t="s">
        <v>19</v>
      </c>
      <c r="I21" t="s">
        <v>20</v>
      </c>
      <c r="J21">
        <v>1</v>
      </c>
      <c r="K21" t="s">
        <v>38</v>
      </c>
      <c r="L21" t="s">
        <v>39</v>
      </c>
      <c r="M21" t="s">
        <v>55</v>
      </c>
    </row>
    <row r="22" spans="1:14" x14ac:dyDescent="0.15">
      <c r="A22" s="3">
        <v>46258</v>
      </c>
      <c r="B22" t="s">
        <v>52</v>
      </c>
      <c r="C22" t="s">
        <v>29</v>
      </c>
      <c r="D22" t="s">
        <v>30</v>
      </c>
      <c r="E22" t="s">
        <v>40</v>
      </c>
      <c r="F22" t="s">
        <v>53</v>
      </c>
      <c r="G22" t="s">
        <v>18</v>
      </c>
      <c r="H22" t="s">
        <v>19</v>
      </c>
      <c r="I22" t="s">
        <v>20</v>
      </c>
      <c r="J22">
        <v>1</v>
      </c>
      <c r="K22" t="s">
        <v>41</v>
      </c>
      <c r="L22" t="s">
        <v>42</v>
      </c>
      <c r="M22" t="s">
        <v>55</v>
      </c>
    </row>
    <row r="23" spans="1:14" x14ac:dyDescent="0.15">
      <c r="A23" s="3">
        <v>46258</v>
      </c>
      <c r="B23" t="s">
        <v>52</v>
      </c>
      <c r="C23" t="s">
        <v>29</v>
      </c>
      <c r="D23" t="s">
        <v>30</v>
      </c>
      <c r="E23" t="s">
        <v>40</v>
      </c>
      <c r="F23" t="s">
        <v>53</v>
      </c>
      <c r="G23" t="s">
        <v>18</v>
      </c>
      <c r="H23" t="s">
        <v>19</v>
      </c>
      <c r="I23" t="s">
        <v>26</v>
      </c>
      <c r="J23">
        <v>1</v>
      </c>
      <c r="K23" t="s">
        <v>69</v>
      </c>
      <c r="L23" t="s">
        <v>70</v>
      </c>
      <c r="M23" t="s">
        <v>55</v>
      </c>
    </row>
    <row r="24" spans="1:14" x14ac:dyDescent="0.15">
      <c r="A24" s="3">
        <v>46258</v>
      </c>
      <c r="B24" t="s">
        <v>52</v>
      </c>
      <c r="C24" t="s">
        <v>29</v>
      </c>
      <c r="D24" t="s">
        <v>30</v>
      </c>
      <c r="E24" t="s">
        <v>31</v>
      </c>
      <c r="F24" t="s">
        <v>53</v>
      </c>
      <c r="G24" t="s">
        <v>18</v>
      </c>
      <c r="H24" t="s">
        <v>19</v>
      </c>
      <c r="I24" t="s">
        <v>20</v>
      </c>
      <c r="K24" t="s">
        <v>70</v>
      </c>
      <c r="L24" t="s">
        <v>70</v>
      </c>
      <c r="M24" t="s">
        <v>71</v>
      </c>
      <c r="N24">
        <v>15100</v>
      </c>
    </row>
    <row r="25" spans="1:14" x14ac:dyDescent="0.15">
      <c r="A25" s="3">
        <v>46258</v>
      </c>
      <c r="B25" t="s">
        <v>52</v>
      </c>
      <c r="C25" t="s">
        <v>29</v>
      </c>
      <c r="D25" t="s">
        <v>30</v>
      </c>
      <c r="E25" t="s">
        <v>31</v>
      </c>
      <c r="F25" t="s">
        <v>53</v>
      </c>
      <c r="G25" t="s">
        <v>18</v>
      </c>
      <c r="H25" t="s">
        <v>19</v>
      </c>
      <c r="I25" t="s">
        <v>20</v>
      </c>
      <c r="K25" t="s">
        <v>70</v>
      </c>
      <c r="L25" t="s">
        <v>70</v>
      </c>
      <c r="M25" t="s">
        <v>72</v>
      </c>
      <c r="N25">
        <v>15100</v>
      </c>
    </row>
    <row r="26" spans="1:14" x14ac:dyDescent="0.15">
      <c r="A26" s="3">
        <v>46258</v>
      </c>
      <c r="B26" t="s">
        <v>52</v>
      </c>
      <c r="C26" t="s">
        <v>29</v>
      </c>
      <c r="D26" t="s">
        <v>30</v>
      </c>
      <c r="E26" t="s">
        <v>31</v>
      </c>
      <c r="F26" t="s">
        <v>53</v>
      </c>
      <c r="G26" t="s">
        <v>18</v>
      </c>
      <c r="H26" t="s">
        <v>19</v>
      </c>
      <c r="I26" t="s">
        <v>20</v>
      </c>
      <c r="K26" t="s">
        <v>70</v>
      </c>
      <c r="L26" t="s">
        <v>70</v>
      </c>
      <c r="M26" t="s">
        <v>73</v>
      </c>
      <c r="N26">
        <v>15100</v>
      </c>
    </row>
    <row r="27" spans="1:14" x14ac:dyDescent="0.15">
      <c r="A27" s="3">
        <v>46258</v>
      </c>
      <c r="B27" t="s">
        <v>52</v>
      </c>
      <c r="C27" t="s">
        <v>29</v>
      </c>
      <c r="D27" t="s">
        <v>30</v>
      </c>
      <c r="E27" t="s">
        <v>31</v>
      </c>
      <c r="F27" t="s">
        <v>53</v>
      </c>
      <c r="G27" t="s">
        <v>18</v>
      </c>
      <c r="H27" t="s">
        <v>19</v>
      </c>
      <c r="I27" t="s">
        <v>26</v>
      </c>
      <c r="K27" t="s">
        <v>70</v>
      </c>
      <c r="L27" t="s">
        <v>70</v>
      </c>
      <c r="M27" t="s">
        <v>74</v>
      </c>
      <c r="N27">
        <v>15100</v>
      </c>
    </row>
    <row r="28" spans="1:14" x14ac:dyDescent="0.15">
      <c r="A28" s="3">
        <v>46258</v>
      </c>
      <c r="B28" t="s">
        <v>52</v>
      </c>
      <c r="C28" t="s">
        <v>29</v>
      </c>
      <c r="D28" t="s">
        <v>30</v>
      </c>
      <c r="E28" t="s">
        <v>24</v>
      </c>
      <c r="F28" t="s">
        <v>53</v>
      </c>
      <c r="G28" t="s">
        <v>18</v>
      </c>
      <c r="H28" t="s">
        <v>19</v>
      </c>
      <c r="I28" t="s">
        <v>20</v>
      </c>
      <c r="K28" t="s">
        <v>70</v>
      </c>
      <c r="L28" t="s">
        <v>70</v>
      </c>
      <c r="M28" t="s">
        <v>72</v>
      </c>
      <c r="N28">
        <v>15100</v>
      </c>
    </row>
    <row r="29" spans="1:14" x14ac:dyDescent="0.15">
      <c r="A29" s="3">
        <v>46258</v>
      </c>
      <c r="B29" t="s">
        <v>52</v>
      </c>
      <c r="C29" t="s">
        <v>29</v>
      </c>
      <c r="D29" t="s">
        <v>30</v>
      </c>
      <c r="E29" t="s">
        <v>24</v>
      </c>
      <c r="F29" t="s">
        <v>53</v>
      </c>
      <c r="G29" t="s">
        <v>18</v>
      </c>
      <c r="H29" t="s">
        <v>19</v>
      </c>
      <c r="I29" t="s">
        <v>20</v>
      </c>
      <c r="K29" t="s">
        <v>70</v>
      </c>
      <c r="L29" t="s">
        <v>70</v>
      </c>
      <c r="M29" t="s">
        <v>74</v>
      </c>
      <c r="N29">
        <v>15100</v>
      </c>
    </row>
    <row r="30" spans="1:14" x14ac:dyDescent="0.15">
      <c r="A30" s="3">
        <v>46258</v>
      </c>
      <c r="B30" t="s">
        <v>52</v>
      </c>
      <c r="C30" t="s">
        <v>29</v>
      </c>
      <c r="D30" t="s">
        <v>30</v>
      </c>
      <c r="E30" t="s">
        <v>24</v>
      </c>
      <c r="F30" t="s">
        <v>53</v>
      </c>
      <c r="G30" t="s">
        <v>18</v>
      </c>
      <c r="H30" t="s">
        <v>19</v>
      </c>
      <c r="I30" t="s">
        <v>20</v>
      </c>
      <c r="K30" t="s">
        <v>70</v>
      </c>
      <c r="L30" t="s">
        <v>70</v>
      </c>
      <c r="M30" t="s">
        <v>72</v>
      </c>
      <c r="N30">
        <v>15100</v>
      </c>
    </row>
    <row r="31" spans="1:14" x14ac:dyDescent="0.15">
      <c r="A31" s="3">
        <v>46258</v>
      </c>
      <c r="B31" t="s">
        <v>52</v>
      </c>
      <c r="C31" t="s">
        <v>29</v>
      </c>
      <c r="D31" t="s">
        <v>30</v>
      </c>
      <c r="E31" t="s">
        <v>24</v>
      </c>
      <c r="F31" t="s">
        <v>53</v>
      </c>
      <c r="G31" t="s">
        <v>18</v>
      </c>
      <c r="H31" t="s">
        <v>19</v>
      </c>
      <c r="I31" t="s">
        <v>26</v>
      </c>
      <c r="K31" t="s">
        <v>70</v>
      </c>
      <c r="L31" t="s">
        <v>70</v>
      </c>
      <c r="M31" t="s">
        <v>74</v>
      </c>
      <c r="N31">
        <v>15100</v>
      </c>
    </row>
    <row r="32" spans="1:14" x14ac:dyDescent="0.15">
      <c r="A32" s="3">
        <v>46258</v>
      </c>
      <c r="B32" t="s">
        <v>52</v>
      </c>
      <c r="C32" t="s">
        <v>29</v>
      </c>
      <c r="D32" t="s">
        <v>30</v>
      </c>
      <c r="E32" t="s">
        <v>40</v>
      </c>
      <c r="F32" t="s">
        <v>53</v>
      </c>
      <c r="G32" t="s">
        <v>18</v>
      </c>
      <c r="H32" t="s">
        <v>19</v>
      </c>
      <c r="I32" t="s">
        <v>20</v>
      </c>
      <c r="K32" t="s">
        <v>70</v>
      </c>
      <c r="L32" t="s">
        <v>70</v>
      </c>
      <c r="M32" t="s">
        <v>73</v>
      </c>
      <c r="N32">
        <v>15100</v>
      </c>
    </row>
    <row r="33" spans="1:14" x14ac:dyDescent="0.15">
      <c r="A33" s="3">
        <v>46258</v>
      </c>
      <c r="B33" t="s">
        <v>52</v>
      </c>
      <c r="C33" t="s">
        <v>29</v>
      </c>
      <c r="D33" t="s">
        <v>30</v>
      </c>
      <c r="E33" t="s">
        <v>40</v>
      </c>
      <c r="F33" t="s">
        <v>53</v>
      </c>
      <c r="G33" t="s">
        <v>18</v>
      </c>
      <c r="H33" t="s">
        <v>19</v>
      </c>
      <c r="I33" t="s">
        <v>20</v>
      </c>
      <c r="K33" t="s">
        <v>70</v>
      </c>
      <c r="L33" t="s">
        <v>70</v>
      </c>
      <c r="M33" t="s">
        <v>72</v>
      </c>
      <c r="N33">
        <v>15100</v>
      </c>
    </row>
    <row r="34" spans="1:14" x14ac:dyDescent="0.15">
      <c r="A34" s="3">
        <v>46258</v>
      </c>
      <c r="B34" t="s">
        <v>52</v>
      </c>
      <c r="C34" t="s">
        <v>29</v>
      </c>
      <c r="D34" t="s">
        <v>30</v>
      </c>
      <c r="E34" t="s">
        <v>40</v>
      </c>
      <c r="F34" t="s">
        <v>53</v>
      </c>
      <c r="G34" t="s">
        <v>18</v>
      </c>
      <c r="H34" t="s">
        <v>19</v>
      </c>
      <c r="I34" t="s">
        <v>20</v>
      </c>
      <c r="K34" t="s">
        <v>70</v>
      </c>
      <c r="L34" t="s">
        <v>70</v>
      </c>
      <c r="M34" t="s">
        <v>75</v>
      </c>
      <c r="N34">
        <v>15100</v>
      </c>
    </row>
    <row r="35" spans="1:14" x14ac:dyDescent="0.15">
      <c r="A35" s="3">
        <v>46258</v>
      </c>
      <c r="B35" t="s">
        <v>52</v>
      </c>
      <c r="C35" t="s">
        <v>29</v>
      </c>
      <c r="D35" t="s">
        <v>30</v>
      </c>
      <c r="E35" t="s">
        <v>40</v>
      </c>
      <c r="F35" t="s">
        <v>53</v>
      </c>
      <c r="G35" t="s">
        <v>18</v>
      </c>
      <c r="H35" t="s">
        <v>19</v>
      </c>
      <c r="I35" t="s">
        <v>26</v>
      </c>
      <c r="K35" t="s">
        <v>70</v>
      </c>
      <c r="L35" t="s">
        <v>70</v>
      </c>
      <c r="M35" t="s">
        <v>72</v>
      </c>
      <c r="N35">
        <v>15100</v>
      </c>
    </row>
    <row r="36" spans="1:14" x14ac:dyDescent="0.15">
      <c r="A36" s="3">
        <v>46258</v>
      </c>
      <c r="B36" t="s">
        <v>52</v>
      </c>
      <c r="C36" t="s">
        <v>76</v>
      </c>
      <c r="D36" t="s">
        <v>77</v>
      </c>
      <c r="E36" t="s">
        <v>16</v>
      </c>
      <c r="F36" t="s">
        <v>78</v>
      </c>
      <c r="G36" t="s">
        <v>18</v>
      </c>
      <c r="H36" t="s">
        <v>19</v>
      </c>
      <c r="I36" t="s">
        <v>20</v>
      </c>
      <c r="J36">
        <v>1</v>
      </c>
      <c r="K36" t="s">
        <v>79</v>
      </c>
      <c r="L36" t="s">
        <v>48</v>
      </c>
      <c r="N36">
        <v>33000</v>
      </c>
    </row>
    <row r="37" spans="1:14" x14ac:dyDescent="0.15">
      <c r="A37" s="3">
        <v>46258</v>
      </c>
      <c r="B37" t="s">
        <v>52</v>
      </c>
      <c r="C37" t="s">
        <v>76</v>
      </c>
      <c r="D37" t="s">
        <v>77</v>
      </c>
      <c r="E37" t="s">
        <v>16</v>
      </c>
      <c r="F37" t="s">
        <v>78</v>
      </c>
      <c r="G37" t="s">
        <v>18</v>
      </c>
      <c r="H37" t="s">
        <v>19</v>
      </c>
      <c r="I37" t="s">
        <v>20</v>
      </c>
      <c r="J37">
        <v>1</v>
      </c>
      <c r="K37" t="s">
        <v>80</v>
      </c>
      <c r="L37" t="s">
        <v>81</v>
      </c>
      <c r="N37">
        <v>33000</v>
      </c>
    </row>
    <row r="38" spans="1:14" x14ac:dyDescent="0.15">
      <c r="A38" s="3">
        <v>46258</v>
      </c>
      <c r="B38" t="s">
        <v>52</v>
      </c>
      <c r="C38" t="s">
        <v>29</v>
      </c>
      <c r="D38" t="s">
        <v>30</v>
      </c>
      <c r="E38" t="s">
        <v>31</v>
      </c>
      <c r="F38" t="s">
        <v>43</v>
      </c>
      <c r="G38" t="s">
        <v>18</v>
      </c>
      <c r="H38" t="s">
        <v>19</v>
      </c>
      <c r="I38" t="s">
        <v>26</v>
      </c>
      <c r="K38" t="s">
        <v>81</v>
      </c>
      <c r="L38" t="s">
        <v>81</v>
      </c>
      <c r="M38" t="s">
        <v>82</v>
      </c>
    </row>
    <row r="39" spans="1:14" x14ac:dyDescent="0.15">
      <c r="A39" s="3">
        <v>46258</v>
      </c>
      <c r="B39" t="s">
        <v>52</v>
      </c>
      <c r="C39" t="s">
        <v>29</v>
      </c>
      <c r="D39" t="s">
        <v>30</v>
      </c>
      <c r="E39" t="s">
        <v>24</v>
      </c>
      <c r="F39" t="s">
        <v>43</v>
      </c>
      <c r="G39" t="s">
        <v>18</v>
      </c>
      <c r="H39" t="s">
        <v>19</v>
      </c>
      <c r="I39" t="s">
        <v>26</v>
      </c>
      <c r="K39" t="s">
        <v>81</v>
      </c>
      <c r="L39" t="s">
        <v>81</v>
      </c>
      <c r="M39" t="s">
        <v>82</v>
      </c>
    </row>
    <row r="40" spans="1:14" x14ac:dyDescent="0.15">
      <c r="A40" s="3">
        <v>46258</v>
      </c>
      <c r="B40" t="s">
        <v>52</v>
      </c>
      <c r="C40" t="s">
        <v>29</v>
      </c>
      <c r="D40" t="s">
        <v>30</v>
      </c>
      <c r="E40" t="s">
        <v>40</v>
      </c>
      <c r="F40" t="s">
        <v>43</v>
      </c>
      <c r="G40" t="s">
        <v>18</v>
      </c>
      <c r="H40" t="s">
        <v>19</v>
      </c>
      <c r="I40" t="s">
        <v>26</v>
      </c>
      <c r="K40" t="s">
        <v>81</v>
      </c>
      <c r="L40" t="s">
        <v>81</v>
      </c>
      <c r="M40" t="s">
        <v>83</v>
      </c>
    </row>
    <row r="41" spans="1:14" x14ac:dyDescent="0.15">
      <c r="A41" s="3">
        <v>46258</v>
      </c>
      <c r="B41" t="s">
        <v>84</v>
      </c>
      <c r="C41" t="s">
        <v>29</v>
      </c>
      <c r="D41" t="s">
        <v>30</v>
      </c>
      <c r="E41" t="s">
        <v>31</v>
      </c>
      <c r="F41" t="s">
        <v>85</v>
      </c>
      <c r="G41" t="s">
        <v>18</v>
      </c>
      <c r="H41" t="s">
        <v>19</v>
      </c>
      <c r="I41" t="s">
        <v>20</v>
      </c>
      <c r="J41">
        <v>1</v>
      </c>
      <c r="K41" t="s">
        <v>21</v>
      </c>
      <c r="L41" t="s">
        <v>54</v>
      </c>
      <c r="M41" t="s">
        <v>55</v>
      </c>
    </row>
    <row r="42" spans="1:14" x14ac:dyDescent="0.15">
      <c r="A42" s="3">
        <v>46258</v>
      </c>
      <c r="B42" t="s">
        <v>84</v>
      </c>
      <c r="C42" t="s">
        <v>29</v>
      </c>
      <c r="D42" t="s">
        <v>30</v>
      </c>
      <c r="E42" t="s">
        <v>31</v>
      </c>
      <c r="F42" t="s">
        <v>85</v>
      </c>
      <c r="G42" t="s">
        <v>18</v>
      </c>
      <c r="H42" t="s">
        <v>19</v>
      </c>
      <c r="I42" t="s">
        <v>20</v>
      </c>
      <c r="J42">
        <v>1</v>
      </c>
      <c r="K42" t="s">
        <v>56</v>
      </c>
      <c r="L42" t="s">
        <v>57</v>
      </c>
      <c r="M42" t="s">
        <v>55</v>
      </c>
    </row>
    <row r="43" spans="1:14" x14ac:dyDescent="0.15">
      <c r="A43" s="3">
        <v>46258</v>
      </c>
      <c r="B43" t="s">
        <v>84</v>
      </c>
      <c r="C43" t="s">
        <v>29</v>
      </c>
      <c r="D43" t="s">
        <v>30</v>
      </c>
      <c r="E43" t="s">
        <v>31</v>
      </c>
      <c r="F43" t="s">
        <v>85</v>
      </c>
      <c r="G43" t="s">
        <v>18</v>
      </c>
      <c r="H43" t="s">
        <v>19</v>
      </c>
      <c r="I43" t="s">
        <v>26</v>
      </c>
      <c r="J43">
        <v>1</v>
      </c>
      <c r="K43" t="s">
        <v>58</v>
      </c>
      <c r="L43" t="s">
        <v>59</v>
      </c>
      <c r="M43" t="s">
        <v>55</v>
      </c>
    </row>
    <row r="44" spans="1:14" x14ac:dyDescent="0.15">
      <c r="A44" s="3">
        <v>46258</v>
      </c>
      <c r="B44" t="s">
        <v>84</v>
      </c>
      <c r="C44" t="s">
        <v>29</v>
      </c>
      <c r="D44" t="s">
        <v>30</v>
      </c>
      <c r="E44" t="s">
        <v>31</v>
      </c>
      <c r="F44" t="s">
        <v>85</v>
      </c>
      <c r="G44" t="s">
        <v>18</v>
      </c>
      <c r="H44" t="s">
        <v>19</v>
      </c>
      <c r="I44" t="s">
        <v>26</v>
      </c>
      <c r="J44">
        <v>1</v>
      </c>
      <c r="K44" t="s">
        <v>60</v>
      </c>
      <c r="L44" t="s">
        <v>61</v>
      </c>
      <c r="M44" t="s">
        <v>55</v>
      </c>
    </row>
    <row r="45" spans="1:14" x14ac:dyDescent="0.15">
      <c r="A45" s="3">
        <v>46258</v>
      </c>
      <c r="B45" t="s">
        <v>84</v>
      </c>
      <c r="C45" t="s">
        <v>29</v>
      </c>
      <c r="D45" t="s">
        <v>30</v>
      </c>
      <c r="E45" t="s">
        <v>24</v>
      </c>
      <c r="F45" t="s">
        <v>85</v>
      </c>
      <c r="G45" t="s">
        <v>18</v>
      </c>
      <c r="H45" t="s">
        <v>19</v>
      </c>
      <c r="I45" t="s">
        <v>20</v>
      </c>
      <c r="J45">
        <v>1</v>
      </c>
      <c r="K45" t="s">
        <v>27</v>
      </c>
      <c r="L45" t="s">
        <v>62</v>
      </c>
      <c r="M45" t="s">
        <v>55</v>
      </c>
    </row>
    <row r="46" spans="1:14" x14ac:dyDescent="0.15">
      <c r="A46" s="3">
        <v>46258</v>
      </c>
      <c r="B46" t="s">
        <v>84</v>
      </c>
      <c r="C46" t="s">
        <v>29</v>
      </c>
      <c r="D46" t="s">
        <v>30</v>
      </c>
      <c r="E46" t="s">
        <v>24</v>
      </c>
      <c r="F46" t="s">
        <v>85</v>
      </c>
      <c r="G46" t="s">
        <v>18</v>
      </c>
      <c r="H46" t="s">
        <v>19</v>
      </c>
      <c r="I46" t="s">
        <v>20</v>
      </c>
      <c r="J46">
        <v>1</v>
      </c>
      <c r="K46" t="s">
        <v>63</v>
      </c>
      <c r="L46" t="s">
        <v>64</v>
      </c>
      <c r="M46" t="s">
        <v>55</v>
      </c>
    </row>
    <row r="47" spans="1:14" x14ac:dyDescent="0.15">
      <c r="A47" s="3">
        <v>46258</v>
      </c>
      <c r="B47" t="s">
        <v>84</v>
      </c>
      <c r="C47" t="s">
        <v>29</v>
      </c>
      <c r="D47" t="s">
        <v>30</v>
      </c>
      <c r="E47" t="s">
        <v>24</v>
      </c>
      <c r="F47" t="s">
        <v>85</v>
      </c>
      <c r="G47" t="s">
        <v>18</v>
      </c>
      <c r="H47" t="s">
        <v>19</v>
      </c>
      <c r="I47" t="s">
        <v>26</v>
      </c>
      <c r="J47">
        <v>1</v>
      </c>
      <c r="K47" t="s">
        <v>65</v>
      </c>
      <c r="L47" t="s">
        <v>66</v>
      </c>
      <c r="M47" t="s">
        <v>55</v>
      </c>
    </row>
    <row r="48" spans="1:14" x14ac:dyDescent="0.15">
      <c r="A48" s="3">
        <v>46258</v>
      </c>
      <c r="B48" t="s">
        <v>84</v>
      </c>
      <c r="C48" t="s">
        <v>29</v>
      </c>
      <c r="D48" t="s">
        <v>30</v>
      </c>
      <c r="E48" t="s">
        <v>31</v>
      </c>
      <c r="F48" t="s">
        <v>85</v>
      </c>
      <c r="G48" t="s">
        <v>18</v>
      </c>
      <c r="H48" t="s">
        <v>19</v>
      </c>
      <c r="I48" t="s">
        <v>20</v>
      </c>
      <c r="K48" t="s">
        <v>66</v>
      </c>
      <c r="L48" t="s">
        <v>66</v>
      </c>
      <c r="M48" t="s">
        <v>86</v>
      </c>
      <c r="N48">
        <v>17900</v>
      </c>
    </row>
    <row r="49" spans="1:14" x14ac:dyDescent="0.15">
      <c r="A49" s="3">
        <v>46258</v>
      </c>
      <c r="B49" t="s">
        <v>84</v>
      </c>
      <c r="C49" t="s">
        <v>29</v>
      </c>
      <c r="D49" t="s">
        <v>30</v>
      </c>
      <c r="E49" t="s">
        <v>31</v>
      </c>
      <c r="F49" t="s">
        <v>85</v>
      </c>
      <c r="G49" t="s">
        <v>18</v>
      </c>
      <c r="H49" t="s">
        <v>19</v>
      </c>
      <c r="I49" t="s">
        <v>20</v>
      </c>
      <c r="K49" t="s">
        <v>66</v>
      </c>
      <c r="L49" t="s">
        <v>66</v>
      </c>
      <c r="M49" t="s">
        <v>73</v>
      </c>
      <c r="N49">
        <v>17900</v>
      </c>
    </row>
    <row r="50" spans="1:14" x14ac:dyDescent="0.15">
      <c r="A50" s="3">
        <v>46258</v>
      </c>
      <c r="B50" t="s">
        <v>84</v>
      </c>
      <c r="C50" t="s">
        <v>29</v>
      </c>
      <c r="D50" t="s">
        <v>30</v>
      </c>
      <c r="E50" t="s">
        <v>31</v>
      </c>
      <c r="F50" t="s">
        <v>85</v>
      </c>
      <c r="G50" t="s">
        <v>18</v>
      </c>
      <c r="H50" t="s">
        <v>19</v>
      </c>
      <c r="I50" t="s">
        <v>26</v>
      </c>
      <c r="K50" t="s">
        <v>66</v>
      </c>
      <c r="L50" t="s">
        <v>66</v>
      </c>
      <c r="M50" t="s">
        <v>73</v>
      </c>
      <c r="N50">
        <v>17900</v>
      </c>
    </row>
    <row r="51" spans="1:14" x14ac:dyDescent="0.15">
      <c r="A51" s="3">
        <v>46258</v>
      </c>
      <c r="B51" t="s">
        <v>84</v>
      </c>
      <c r="C51" t="s">
        <v>29</v>
      </c>
      <c r="D51" t="s">
        <v>30</v>
      </c>
      <c r="E51" t="s">
        <v>31</v>
      </c>
      <c r="F51" t="s">
        <v>85</v>
      </c>
      <c r="G51" t="s">
        <v>18</v>
      </c>
      <c r="H51" t="s">
        <v>19</v>
      </c>
      <c r="I51" t="s">
        <v>26</v>
      </c>
      <c r="K51" t="s">
        <v>66</v>
      </c>
      <c r="L51" t="s">
        <v>66</v>
      </c>
      <c r="M51" t="s">
        <v>87</v>
      </c>
      <c r="N51">
        <v>17900</v>
      </c>
    </row>
    <row r="52" spans="1:14" x14ac:dyDescent="0.15">
      <c r="A52" s="3">
        <v>46258</v>
      </c>
      <c r="B52" t="s">
        <v>84</v>
      </c>
      <c r="C52" t="s">
        <v>29</v>
      </c>
      <c r="D52" t="s">
        <v>30</v>
      </c>
      <c r="E52" t="s">
        <v>24</v>
      </c>
      <c r="F52" t="s">
        <v>85</v>
      </c>
      <c r="G52" t="s">
        <v>18</v>
      </c>
      <c r="H52" t="s">
        <v>19</v>
      </c>
      <c r="I52" t="s">
        <v>20</v>
      </c>
      <c r="K52" t="s">
        <v>66</v>
      </c>
      <c r="L52" t="s">
        <v>66</v>
      </c>
      <c r="M52" t="s">
        <v>88</v>
      </c>
      <c r="N52">
        <v>17900</v>
      </c>
    </row>
    <row r="53" spans="1:14" x14ac:dyDescent="0.15">
      <c r="A53" s="3">
        <v>46258</v>
      </c>
      <c r="B53" t="s">
        <v>84</v>
      </c>
      <c r="C53" t="s">
        <v>29</v>
      </c>
      <c r="D53" t="s">
        <v>30</v>
      </c>
      <c r="E53" t="s">
        <v>24</v>
      </c>
      <c r="F53" t="s">
        <v>85</v>
      </c>
      <c r="G53" t="s">
        <v>18</v>
      </c>
      <c r="H53" t="s">
        <v>19</v>
      </c>
      <c r="I53" t="s">
        <v>20</v>
      </c>
      <c r="K53" t="s">
        <v>66</v>
      </c>
      <c r="L53" t="s">
        <v>66</v>
      </c>
      <c r="M53" t="s">
        <v>73</v>
      </c>
      <c r="N53">
        <v>17900</v>
      </c>
    </row>
    <row r="54" spans="1:14" x14ac:dyDescent="0.15">
      <c r="A54" s="3">
        <v>46258</v>
      </c>
      <c r="B54" t="s">
        <v>84</v>
      </c>
      <c r="C54" t="s">
        <v>29</v>
      </c>
      <c r="D54" t="s">
        <v>30</v>
      </c>
      <c r="E54" t="s">
        <v>24</v>
      </c>
      <c r="F54" t="s">
        <v>85</v>
      </c>
      <c r="G54" t="s">
        <v>18</v>
      </c>
      <c r="H54" t="s">
        <v>19</v>
      </c>
      <c r="I54" t="s">
        <v>26</v>
      </c>
      <c r="K54" t="s">
        <v>66</v>
      </c>
      <c r="L54" t="s">
        <v>66</v>
      </c>
      <c r="M54" t="s">
        <v>73</v>
      </c>
      <c r="N54">
        <v>17900</v>
      </c>
    </row>
    <row r="55" spans="1:14" x14ac:dyDescent="0.15">
      <c r="A55" s="3">
        <v>46258</v>
      </c>
      <c r="B55" t="s">
        <v>84</v>
      </c>
      <c r="C55" t="s">
        <v>29</v>
      </c>
      <c r="D55" t="s">
        <v>30</v>
      </c>
      <c r="E55" t="s">
        <v>24</v>
      </c>
      <c r="F55" t="s">
        <v>85</v>
      </c>
      <c r="G55" t="s">
        <v>18</v>
      </c>
      <c r="H55" t="s">
        <v>19</v>
      </c>
      <c r="I55" t="s">
        <v>26</v>
      </c>
      <c r="J55">
        <v>1</v>
      </c>
      <c r="K55" t="s">
        <v>67</v>
      </c>
      <c r="L55" t="s">
        <v>68</v>
      </c>
      <c r="M55" t="s">
        <v>55</v>
      </c>
    </row>
    <row r="56" spans="1:14" x14ac:dyDescent="0.15">
      <c r="A56" s="3">
        <v>46258</v>
      </c>
      <c r="B56" t="s">
        <v>84</v>
      </c>
      <c r="C56" t="s">
        <v>29</v>
      </c>
      <c r="D56" t="s">
        <v>30</v>
      </c>
      <c r="E56" t="s">
        <v>40</v>
      </c>
      <c r="F56" t="s">
        <v>85</v>
      </c>
      <c r="G56" t="s">
        <v>18</v>
      </c>
      <c r="H56" t="s">
        <v>19</v>
      </c>
      <c r="I56" t="s">
        <v>20</v>
      </c>
      <c r="J56">
        <v>1</v>
      </c>
      <c r="K56" t="s">
        <v>33</v>
      </c>
      <c r="L56" t="s">
        <v>34</v>
      </c>
      <c r="M56" t="s">
        <v>55</v>
      </c>
    </row>
    <row r="57" spans="1:14" x14ac:dyDescent="0.15">
      <c r="A57" s="3">
        <v>46258</v>
      </c>
      <c r="B57" t="s">
        <v>84</v>
      </c>
      <c r="C57" t="s">
        <v>29</v>
      </c>
      <c r="D57" t="s">
        <v>30</v>
      </c>
      <c r="E57" t="s">
        <v>40</v>
      </c>
      <c r="F57" t="s">
        <v>85</v>
      </c>
      <c r="G57" t="s">
        <v>18</v>
      </c>
      <c r="H57" t="s">
        <v>19</v>
      </c>
      <c r="I57" t="s">
        <v>20</v>
      </c>
      <c r="J57">
        <v>1</v>
      </c>
      <c r="K57" t="s">
        <v>38</v>
      </c>
      <c r="L57" t="s">
        <v>39</v>
      </c>
      <c r="M57" t="s">
        <v>55</v>
      </c>
    </row>
    <row r="58" spans="1:14" x14ac:dyDescent="0.15">
      <c r="A58" s="3">
        <v>46258</v>
      </c>
      <c r="B58" t="s">
        <v>84</v>
      </c>
      <c r="C58" t="s">
        <v>29</v>
      </c>
      <c r="D58" t="s">
        <v>30</v>
      </c>
      <c r="E58" t="s">
        <v>24</v>
      </c>
      <c r="F58" t="s">
        <v>85</v>
      </c>
      <c r="G58" t="s">
        <v>18</v>
      </c>
      <c r="H58" t="s">
        <v>19</v>
      </c>
      <c r="I58" t="s">
        <v>26</v>
      </c>
      <c r="K58" t="s">
        <v>39</v>
      </c>
      <c r="L58" t="s">
        <v>39</v>
      </c>
      <c r="M58" t="s">
        <v>88</v>
      </c>
      <c r="N58">
        <v>17900</v>
      </c>
    </row>
    <row r="59" spans="1:14" x14ac:dyDescent="0.15">
      <c r="A59" s="3">
        <v>46258</v>
      </c>
      <c r="B59" t="s">
        <v>84</v>
      </c>
      <c r="C59" t="s">
        <v>29</v>
      </c>
      <c r="D59" t="s">
        <v>30</v>
      </c>
      <c r="E59" t="s">
        <v>40</v>
      </c>
      <c r="F59" t="s">
        <v>85</v>
      </c>
      <c r="G59" t="s">
        <v>18</v>
      </c>
      <c r="H59" t="s">
        <v>19</v>
      </c>
      <c r="I59" t="s">
        <v>20</v>
      </c>
      <c r="K59" t="s">
        <v>39</v>
      </c>
      <c r="L59" t="s">
        <v>39</v>
      </c>
      <c r="M59" t="s">
        <v>73</v>
      </c>
      <c r="N59">
        <v>17900</v>
      </c>
    </row>
    <row r="60" spans="1:14" x14ac:dyDescent="0.15">
      <c r="A60" s="3">
        <v>46258</v>
      </c>
      <c r="B60" t="s">
        <v>84</v>
      </c>
      <c r="C60" t="s">
        <v>29</v>
      </c>
      <c r="D60" t="s">
        <v>30</v>
      </c>
      <c r="E60" t="s">
        <v>40</v>
      </c>
      <c r="F60" t="s">
        <v>85</v>
      </c>
      <c r="G60" t="s">
        <v>18</v>
      </c>
      <c r="H60" t="s">
        <v>19</v>
      </c>
      <c r="I60" t="s">
        <v>20</v>
      </c>
      <c r="K60" t="s">
        <v>39</v>
      </c>
      <c r="L60" t="s">
        <v>39</v>
      </c>
      <c r="M60" t="s">
        <v>73</v>
      </c>
      <c r="N60">
        <v>17900</v>
      </c>
    </row>
    <row r="61" spans="1:14" x14ac:dyDescent="0.15">
      <c r="A61" s="3">
        <v>46258</v>
      </c>
      <c r="B61" t="s">
        <v>84</v>
      </c>
      <c r="C61" t="s">
        <v>29</v>
      </c>
      <c r="D61" t="s">
        <v>30</v>
      </c>
      <c r="E61" t="s">
        <v>40</v>
      </c>
      <c r="F61" t="s">
        <v>85</v>
      </c>
      <c r="G61" t="s">
        <v>18</v>
      </c>
      <c r="H61" t="s">
        <v>19</v>
      </c>
      <c r="I61" t="s">
        <v>26</v>
      </c>
      <c r="J61">
        <v>1</v>
      </c>
      <c r="K61" t="s">
        <v>41</v>
      </c>
      <c r="L61" t="s">
        <v>42</v>
      </c>
      <c r="N61">
        <v>17900</v>
      </c>
    </row>
    <row r="62" spans="1:14" x14ac:dyDescent="0.15">
      <c r="A62" s="3">
        <v>46258</v>
      </c>
      <c r="B62" t="s">
        <v>84</v>
      </c>
      <c r="C62" t="s">
        <v>29</v>
      </c>
      <c r="D62" t="s">
        <v>30</v>
      </c>
      <c r="E62" t="s">
        <v>40</v>
      </c>
      <c r="F62" t="s">
        <v>85</v>
      </c>
      <c r="G62" t="s">
        <v>18</v>
      </c>
      <c r="H62" t="s">
        <v>19</v>
      </c>
      <c r="I62" t="s">
        <v>26</v>
      </c>
      <c r="J62">
        <v>1</v>
      </c>
      <c r="K62" t="s">
        <v>69</v>
      </c>
      <c r="L62" t="s">
        <v>70</v>
      </c>
      <c r="N62">
        <v>17900</v>
      </c>
    </row>
    <row r="63" spans="1:14" x14ac:dyDescent="0.15">
      <c r="A63" s="3">
        <v>46258</v>
      </c>
      <c r="B63" t="s">
        <v>84</v>
      </c>
      <c r="C63" t="s">
        <v>76</v>
      </c>
      <c r="D63" t="s">
        <v>77</v>
      </c>
      <c r="E63" t="s">
        <v>16</v>
      </c>
      <c r="F63" t="s">
        <v>89</v>
      </c>
      <c r="G63" t="s">
        <v>18</v>
      </c>
      <c r="H63" t="s">
        <v>19</v>
      </c>
      <c r="I63" t="s">
        <v>20</v>
      </c>
      <c r="K63" t="s">
        <v>70</v>
      </c>
      <c r="L63" t="s">
        <v>70</v>
      </c>
      <c r="M63" t="s">
        <v>90</v>
      </c>
    </row>
    <row r="64" spans="1:14" x14ac:dyDescent="0.15">
      <c r="A64" s="3">
        <v>46258</v>
      </c>
      <c r="B64" t="s">
        <v>84</v>
      </c>
      <c r="C64" t="s">
        <v>76</v>
      </c>
      <c r="D64" t="s">
        <v>77</v>
      </c>
      <c r="E64" t="s">
        <v>16</v>
      </c>
      <c r="F64" t="s">
        <v>89</v>
      </c>
      <c r="G64" t="s">
        <v>18</v>
      </c>
      <c r="H64" t="s">
        <v>19</v>
      </c>
      <c r="I64" t="s">
        <v>20</v>
      </c>
      <c r="K64" t="s">
        <v>70</v>
      </c>
      <c r="L64" t="s">
        <v>70</v>
      </c>
      <c r="M64" t="s">
        <v>90</v>
      </c>
    </row>
    <row r="65" spans="1:14" x14ac:dyDescent="0.15">
      <c r="A65" s="3">
        <v>46258</v>
      </c>
      <c r="B65" t="s">
        <v>84</v>
      </c>
      <c r="C65" t="s">
        <v>76</v>
      </c>
      <c r="D65" t="s">
        <v>77</v>
      </c>
      <c r="E65" t="s">
        <v>16</v>
      </c>
      <c r="F65" t="s">
        <v>78</v>
      </c>
      <c r="G65" t="s">
        <v>18</v>
      </c>
      <c r="H65" t="s">
        <v>19</v>
      </c>
      <c r="I65" t="s">
        <v>20</v>
      </c>
      <c r="K65" t="s">
        <v>70</v>
      </c>
      <c r="L65" t="s">
        <v>70</v>
      </c>
      <c r="M65" t="s">
        <v>91</v>
      </c>
    </row>
    <row r="66" spans="1:14" x14ac:dyDescent="0.15">
      <c r="A66" s="3">
        <v>46258</v>
      </c>
      <c r="B66" t="s">
        <v>84</v>
      </c>
      <c r="C66" t="s">
        <v>76</v>
      </c>
      <c r="D66" t="s">
        <v>77</v>
      </c>
      <c r="E66" t="s">
        <v>16</v>
      </c>
      <c r="F66" t="s">
        <v>78</v>
      </c>
      <c r="G66" t="s">
        <v>18</v>
      </c>
      <c r="H66" t="s">
        <v>19</v>
      </c>
      <c r="I66" t="s">
        <v>20</v>
      </c>
      <c r="J66">
        <v>1</v>
      </c>
      <c r="K66" t="s">
        <v>79</v>
      </c>
      <c r="L66" t="s">
        <v>48</v>
      </c>
      <c r="N66">
        <v>33000</v>
      </c>
    </row>
    <row r="67" spans="1:14" x14ac:dyDescent="0.15">
      <c r="A67" s="3">
        <v>46258</v>
      </c>
      <c r="B67" t="s">
        <v>92</v>
      </c>
      <c r="C67" t="s">
        <v>14</v>
      </c>
      <c r="D67" t="s">
        <v>15</v>
      </c>
      <c r="E67" t="s">
        <v>31</v>
      </c>
      <c r="F67" t="s">
        <v>93</v>
      </c>
      <c r="G67" t="s">
        <v>18</v>
      </c>
      <c r="H67" t="s">
        <v>19</v>
      </c>
      <c r="I67" t="s">
        <v>26</v>
      </c>
      <c r="J67">
        <v>1</v>
      </c>
      <c r="K67" t="s">
        <v>21</v>
      </c>
      <c r="L67" t="s">
        <v>94</v>
      </c>
      <c r="M67" t="s">
        <v>95</v>
      </c>
    </row>
    <row r="68" spans="1:14" x14ac:dyDescent="0.15">
      <c r="A68" s="3">
        <v>46258</v>
      </c>
      <c r="B68" t="s">
        <v>92</v>
      </c>
      <c r="C68" t="s">
        <v>14</v>
      </c>
      <c r="D68" t="s">
        <v>15</v>
      </c>
      <c r="E68" t="s">
        <v>31</v>
      </c>
      <c r="F68" t="s">
        <v>96</v>
      </c>
      <c r="G68" t="s">
        <v>18</v>
      </c>
      <c r="H68" t="s">
        <v>19</v>
      </c>
      <c r="I68" t="s">
        <v>20</v>
      </c>
      <c r="J68">
        <v>1</v>
      </c>
      <c r="K68" t="s">
        <v>97</v>
      </c>
      <c r="L68" t="s">
        <v>42</v>
      </c>
      <c r="N68">
        <v>110700</v>
      </c>
    </row>
    <row r="69" spans="1:14" x14ac:dyDescent="0.15">
      <c r="A69" s="3">
        <v>46258</v>
      </c>
      <c r="B69" t="s">
        <v>92</v>
      </c>
      <c r="C69" t="s">
        <v>14</v>
      </c>
      <c r="D69" t="s">
        <v>15</v>
      </c>
      <c r="E69" t="s">
        <v>31</v>
      </c>
      <c r="F69" t="s">
        <v>93</v>
      </c>
      <c r="G69" t="s">
        <v>18</v>
      </c>
      <c r="H69" t="s">
        <v>19</v>
      </c>
      <c r="I69" t="s">
        <v>26</v>
      </c>
      <c r="K69" t="s">
        <v>42</v>
      </c>
      <c r="L69" t="s">
        <v>42</v>
      </c>
      <c r="M69" t="s">
        <v>98</v>
      </c>
      <c r="N69">
        <v>109900</v>
      </c>
    </row>
    <row r="70" spans="1:14" x14ac:dyDescent="0.15">
      <c r="A70" s="3">
        <v>46258</v>
      </c>
      <c r="B70" t="s">
        <v>92</v>
      </c>
      <c r="C70" t="s">
        <v>29</v>
      </c>
      <c r="D70" t="s">
        <v>30</v>
      </c>
      <c r="E70" t="s">
        <v>31</v>
      </c>
      <c r="F70" t="s">
        <v>99</v>
      </c>
      <c r="G70" t="s">
        <v>18</v>
      </c>
      <c r="H70" t="s">
        <v>19</v>
      </c>
      <c r="I70" t="s">
        <v>20</v>
      </c>
      <c r="J70">
        <v>1</v>
      </c>
      <c r="K70" t="s">
        <v>44</v>
      </c>
      <c r="L70" t="s">
        <v>45</v>
      </c>
      <c r="N70">
        <v>21600</v>
      </c>
    </row>
    <row r="71" spans="1:14" x14ac:dyDescent="0.15">
      <c r="A71" s="3">
        <v>46258</v>
      </c>
      <c r="B71" t="s">
        <v>92</v>
      </c>
      <c r="C71" t="s">
        <v>29</v>
      </c>
      <c r="D71" t="s">
        <v>30</v>
      </c>
      <c r="E71" t="s">
        <v>24</v>
      </c>
      <c r="F71" t="s">
        <v>99</v>
      </c>
      <c r="G71" t="s">
        <v>18</v>
      </c>
      <c r="H71" t="s">
        <v>19</v>
      </c>
      <c r="I71" t="s">
        <v>20</v>
      </c>
      <c r="J71">
        <v>1</v>
      </c>
      <c r="K71" t="s">
        <v>47</v>
      </c>
      <c r="L71" t="s">
        <v>48</v>
      </c>
      <c r="N71">
        <v>21600</v>
      </c>
    </row>
    <row r="72" spans="1:14" x14ac:dyDescent="0.15">
      <c r="A72" s="3">
        <v>46258</v>
      </c>
      <c r="B72" t="s">
        <v>92</v>
      </c>
      <c r="C72" t="s">
        <v>29</v>
      </c>
      <c r="D72" t="s">
        <v>30</v>
      </c>
      <c r="E72" t="s">
        <v>40</v>
      </c>
      <c r="F72" t="s">
        <v>99</v>
      </c>
      <c r="G72" t="s">
        <v>18</v>
      </c>
      <c r="H72" t="s">
        <v>19</v>
      </c>
      <c r="I72" t="s">
        <v>20</v>
      </c>
      <c r="J72">
        <v>1</v>
      </c>
      <c r="K72" t="s">
        <v>49</v>
      </c>
      <c r="L72" t="s">
        <v>50</v>
      </c>
      <c r="N72">
        <v>21600</v>
      </c>
    </row>
    <row r="73" spans="1:14" x14ac:dyDescent="0.15">
      <c r="A73" s="3">
        <v>46258</v>
      </c>
      <c r="B73" t="s">
        <v>92</v>
      </c>
      <c r="C73" t="s">
        <v>76</v>
      </c>
      <c r="D73" t="s">
        <v>77</v>
      </c>
      <c r="E73" t="s">
        <v>16</v>
      </c>
      <c r="F73" t="s">
        <v>78</v>
      </c>
      <c r="G73" t="s">
        <v>18</v>
      </c>
      <c r="H73" t="s">
        <v>19</v>
      </c>
      <c r="I73" t="s">
        <v>20</v>
      </c>
      <c r="J73">
        <v>1</v>
      </c>
      <c r="K73" t="s">
        <v>100</v>
      </c>
      <c r="L73" t="s">
        <v>101</v>
      </c>
      <c r="M73" t="s">
        <v>102</v>
      </c>
      <c r="N73">
        <v>33000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workbookViewId="0">
      <selection activeCell="B2" sqref="B2"/>
    </sheetView>
  </sheetViews>
  <sheetFormatPr defaultRowHeight="13.5" x14ac:dyDescent="0.15"/>
  <cols>
    <col min="1" max="1" width="15" style="1" bestFit="1" customWidth="1"/>
    <col min="2" max="2" width="11.625" style="1" bestFit="1" customWidth="1"/>
    <col min="3" max="3" width="11.625" style="1" customWidth="1"/>
    <col min="4" max="9" width="9" style="1"/>
    <col min="10" max="10" width="9.25" style="1" bestFit="1" customWidth="1"/>
    <col min="11" max="11" width="8.25" style="1" bestFit="1" customWidth="1"/>
    <col min="12" max="16384" width="9" style="1"/>
  </cols>
  <sheetData>
    <row r="1" spans="1:14" x14ac:dyDescent="0.15">
      <c r="A1" s="2" t="s">
        <v>0</v>
      </c>
      <c r="B1" s="2" t="s">
        <v>11</v>
      </c>
      <c r="C1" s="2" t="s">
        <v>12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tr">
        <f>"["&amp;_xlfn.TEXTJOIN(",",TRUE,N2:N73)&amp;"]"</f>
        <v>[{"SchNo":"Q260824-0002","SchDate":"2026/08/24","Line":"前組2","SdNo":"S2602671","SdName":"所沢市小手指一丁目計画","Floor":"1F","Symbol":"SD-115","ItemName":"親 枠 R","Qty":"1","StartTime":"8:40","EndTime":"11:05","Remark1":"曲げ遅れにより中断","Remark2":""},{"SchNo":"Q260824-0003","SchDate":"2026/08/24","Line":"前組2","SdNo":"S2602671","SdName":"所沢市小手指一丁目計画","Floor":"3F","Symbol":"SD-301","ItemName":"親 枠 L","Qty":"1","StartTime":"11:25","EndTime":"14:25","Remark1":"曲げ遅れにより中断","Remark2":""},{"SchNo":"Q260824-0004","SchDate":"2026/08/24","Line":"前組2","SdNo":"S2602674","SdName":"特別養護老人ﾎｰﾑ","Floor":"2F","Symbol":"SD-31-1","ItemName":"親 枠 R","Qty":"1","StartTime":"14:45","EndTime":"15:30","Remark1":"作業者に指示出し等で段取り時間増","Remark2":"15600"},{"SchNo":"Q260824-0005","SchDate":"2026/08/24","Line":"前組2","SdNo":"S2602671","SdName":"所沢市小手指一丁目計画","Floor":"1F","Symbol":"SD-115","ItemName":"親 枠 R","Qty":"0","StartTime":"15:30","EndTime":"15:30","Remark1":"作業時間合計95分","Remark2":"78000"},{"SchNo":"Q260824-0006","SchDate":"2026/08/24","Line":"前組2","SdNo":"S2602671","SdName":"所沢市小手指一丁目計画","Floor":"3F","Symbol":"SD-301","ItemName":"親 枠 L","Qty":"0","StartTime":"15:30","EndTime":"15:30","Remark1":"作業時間合計115分","Remark2":"73800"},{"SchNo":"Q260824-0007","SchDate":"2026/08/24","Line":"前組2","SdNo":"S2602674","SdName":"特別養護老人ﾎｰﾑ","Floor":"3F","Symbol":"SD-31-1","ItemName":"親 枠 R","Qty":"1","StartTime":"15:35","EndTime":"16:05","Remark1":"","Remark2":"15600"},{"SchNo":"Q260824-0008","SchDate":"2026/08/24","Line":"前組2","SdNo":"S2602674","SdName":"特別養護老人ﾎｰﾑ","Floor":"4F","Symbol":"SD-31-1","ItemName":"親 枠 R","Qty":"1","StartTime":"16:10","EndTime":"16:40","Remark1":"","Remark2":"15600"},{"SchNo":"Q260824-0009","SchDate":"2026/08/24","Line":"前組2","SdNo":"S2602674","SdName":"特別養護老人ﾎｰﾑ","Floor":"2F","Symbol":"SD-31-4","ItemName":"親 枠 L","Qty":"1","StartTime":"17:00","EndTime":"17:40","Remark1":"森山と共同製作 作業時間合計25分","Remark2":"15100"},{"SchNo":"Q260824-0010","SchDate":"2026/08/24","Line":"前組2","SdNo":"S2602674","SdName":"特別養護老人ﾎｰﾑ","Floor":"3F","Symbol":"SD-31-4","ItemName":"親 枠 L","Qty":"1","StartTime":"17:45","EndTime":"18:15","Remark1":"森山と共同製作 作業時間合計25分","Remark2":"15100"},{"SchNo":"Q260824-0011","SchDate":"2026/08/24","Line":"前組2","SdNo":"S2602674","SdName":"特別養護老人ﾎｰﾑ","Floor":"4F","Symbol":"SD-31-4","ItemName":"親 枠 L","Qty":"1","StartTime":"18:20","EndTime":"18:50","Remark1":"森山へ","Remark2":"15100"},{"SchNo":"Q260824-0012","SchDate":"2026/08/24","Line":"前組4","SdNo":"S2602674","SdName":"特別養護老人ﾎｰﾑ","Floor":"2F","Symbol":"SD-31","ItemName":"親 枠 R","Qty":"1","StartTime":"8:40","EndTime":"9:30","Remark1":"下枠曲げ遅れにより中断","Remark2":""},{"SchNo":"Q260824-0013","SchDate":"2026/08/24","Line":"前組4","SdNo":"S2602674","SdName":"特別養護老人ﾎｰﾑ","Floor":"2F","Symbol":"SD-31","ItemName":"親 枠 R","Qty":"1","StartTime":"9:35","EndTime":"10:05","Remark1":"下枠曲げ遅れにより中断","Remark2":""},{"SchNo":"Q260824-0014","SchDate":"2026/08/24","Line":"前組4","SdNo":"S2602674","SdName":"特別養護老人ﾎｰﾑ","Floor":"2F","Symbol":"SD-31","ItemName":"親 枠 R","Qty":"1","StartTime":"10:10","EndTime":"10:45","Remark1":"下枠曲げ遅れにより中断","Remark2":""},{"SchNo":"Q260824-0015","SchDate":"2026/08/24","Line":"前組4","SdNo":"S2602674","SdName":"特別養護老人ﾎｰﾑ","Floor":"2F","Symbol":"SD-31","ItemName":"親 枠 L","Qty":"1","StartTime":"10:50","EndTime":"11:20","Remark1":"下枠曲げ遅れにより中断","Remark2":""},{"SchNo":"Q260824-0016","SchDate":"2026/08/24","Line":"前組4","SdNo":"S2602674","SdName":"特別養護老人ﾎｰﾑ","Floor":"3F","Symbol":"SD-31","ItemName":"親 枠 R","Qty":"1","StartTime":"11:25","EndTime":"11:55","Remark1":"下枠曲げ遅れにより中断","Remark2":""},{"SchNo":"Q260824-0017","SchDate":"2026/08/24","Line":"前組4","SdNo":"S2602674","SdName":"特別養護老人ﾎｰﾑ","Floor":"3F","Symbol":"SD-31","ItemName":"親 枠 R","Qty":"1","StartTime":"12:00","EndTime":"13:30","Remark1":"下枠曲げ遅れにより中断","Remark2":""},{"SchNo":"Q260824-0018","SchDate":"2026/08/24","Line":"前組4","SdNo":"S2602674","SdName":"特別養護老人ﾎｰﾑ","Floor":"3F","Symbol":"SD-31","ItemName":"親 枠 R","Qty":"1","StartTime":"13:35","EndTime":"14:05","Remark1":"下枠曲げ遅れにより中断","Remark2":""},{"SchNo":"Q260824-0019","SchDate":"2026/08/24","Line":"前組4","SdNo":"S2602674","SdName":"特別養護老人ﾎｰﾑ","Floor":"3F","Symbol":"SD-31","ItemName":"親 枠 L","Qty":"1","StartTime":"14:10","EndTime":"14:40","Remark1":"下枠曲げ遅れにより中断","Remark2":""},{"SchNo":"Q260824-0020","SchDate":"2026/08/24","Line":"前組4","SdNo":"S2602674","SdName":"特別養護老人ﾎｰﾑ","Floor":"4F","Symbol":"SD-31","ItemName":"親 枠 R","Qty":"1","StartTime":"14:45","EndTime":"15:30","Remark1":"下枠曲げ遅れにより中断","Remark2":""},{"SchNo":"Q260824-0021","SchDate":"2026/08/24","Line":"前組4","SdNo":"S2602674","SdName":"特別養護老人ﾎｰﾑ","Floor":"4F","Symbol":"SD-31","ItemName":"親 枠 R","Qty":"1","StartTime":"15:35","EndTime":"16:05","Remark1":"下枠曲げ遅れにより中断","Remark2":""},{"SchNo":"Q260824-0022","SchDate":"2026/08/24","Line":"前組4","SdNo":"S2602674","SdName":"特別養護老人ﾎｰﾑ","Floor":"4F","Symbol":"SD-31","ItemName":"親 枠 R","Qty":"1","StartTime":"16:10","EndTime":"16:40","Remark1":"下枠曲げ遅れにより中断","Remark2":""},{"SchNo":"Q260824-0023","SchDate":"2026/08/24","Line":"前組4","SdNo":"S2602674","SdName":"特別養護老人ﾎｰﾑ","Floor":"4F","Symbol":"SD-31","ItemName":"親 枠 L","Qty":"1","StartTime":"16:45","EndTime":"17:15","Remark1":"下枠曲げ遅れにより中断","Remark2":""},{"SchNo":"Q260824-0024","SchDate":"2026/08/24","Line":"前組4","SdNo":"S2602674","SdName":"特別養護老人ﾎｰﾑ","Floor":"2F","Symbol":"SD-31","ItemName":"親 枠 R","Qty":"0","StartTime":"17:15","EndTime":"17:15","Remark1":"作業時間合計55分","Remark2":"15100"},{"SchNo":"Q260824-0025","SchDate":"2026/08/24","Line":"前組4","SdNo":"S2602674","SdName":"特別養護老人ﾎｰﾑ","Floor":"2F","Symbol":"SD-31","ItemName":"親 枠 R","Qty":"0","StartTime":"17:15","EndTime":"17:15","Remark1":"作業時間合計20分","Remark2":"15100"},{"SchNo":"Q260824-0026","SchDate":"2026/08/24","Line":"前組4","SdNo":"S2602674","SdName":"特別養護老人ﾎｰﾑ","Floor":"2F","Symbol":"SD-31","ItemName":"親 枠 R","Qty":"0","StartTime":"17:15","EndTime":"17:15","Remark1":"作業時間合計30分","Remark2":"15100"},{"SchNo":"Q260824-0027","SchDate":"2026/08/24","Line":"前組4","SdNo":"S2602674","SdName":"特別養護老人ﾎｰﾑ","Floor":"2F","Symbol":"SD-31","ItemName":"親 枠 L","Qty":"0","StartTime":"17:15","EndTime":"17:15","Remark1":"作業時間合計25分","Remark2":"15100"},{"SchNo":"Q260824-0028","SchDate":"2026/08/24","Line":"前組4","SdNo":"S2602674","SdName":"特別養護老人ﾎｰﾑ","Floor":"3F","Symbol":"SD-31","ItemName":"親 枠 R","Qty":"0","StartTime":"17:15","EndTime":"17:15","Remark1":"作業時間合計20分","Remark2":"15100"},{"SchNo":"Q260824-0029","SchDate":"2026/08/24","Line":"前組4","SdNo":"S2602674","SdName":"特別養護老人ﾎｰﾑ","Floor":"3F","Symbol":"SD-31","ItemName":"親 枠 R","Qty":"0","StartTime":"17:15","EndTime":"17:15","Remark1":"作業時間合計25分","Remark2":"15100"},{"SchNo":"Q260824-0030","SchDate":"2026/08/24","Line":"前組4","SdNo":"S2602674","SdName":"特別養護老人ﾎｰﾑ","Floor":"3F","Symbol":"SD-31","ItemName":"親 枠 R","Qty":"0","StartTime":"17:15","EndTime":"17:15","Remark1":"作業時間合計20分","Remark2":"15100"},{"SchNo":"Q260824-0031","SchDate":"2026/08/24","Line":"前組4","SdNo":"S2602674","SdName":"特別養護老人ﾎｰﾑ","Floor":"3F","Symbol":"SD-31","ItemName":"親 枠 L","Qty":"0","StartTime":"17:15","EndTime":"17:15","Remark1":"作業時間合計25分","Remark2":"15100"},{"SchNo":"Q260824-0032","SchDate":"2026/08/24","Line":"前組4","SdNo":"S2602674","SdName":"特別養護老人ﾎｰﾑ","Floor":"4F","Symbol":"SD-31","ItemName":"親 枠 R","Qty":"0","StartTime":"17:15","EndTime":"17:15","Remark1":"作業時間合計30分","Remark2":"15100"},{"SchNo":"Q260824-0033","SchDate":"2026/08/24","Line":"前組4","SdNo":"S2602674","SdName":"特別養護老人ﾎｰﾑ","Floor":"4F","Symbol":"SD-31","ItemName":"親 枠 R","Qty":"0","StartTime":"17:15","EndTime":"17:15","Remark1":"作業時間合計20分","Remark2":"15100"},{"SchNo":"Q260824-0034","SchDate":"2026/08/24","Line":"前組4","SdNo":"S2602674","SdName":"特別養護老人ﾎｰﾑ","Floor":"4F","Symbol":"SD-31","ItemName":"親 枠 R","Qty":"0","StartTime":"17:15","EndTime":"17:15","Remark1":"作業時間合計15分","Remark2":"15100"},{"SchNo":"Q260824-0035","SchDate":"2026/08/24","Line":"前組4","SdNo":"S2602674","SdName":"特別養護老人ﾎｰﾑ","Floor":"4F","Symbol":"SD-31","ItemName":"親 枠 L","Qty":"0","StartTime":"17:15","EndTime":"17:15","Remark1":"作業時間合計20分","Remark2":"15100"},{"SchNo":"Q260824-0036","SchDate":"2026/08/24","Line":"前組4","SdNo":"S2602592","SdName":"TOK1__E__210-E520_I","Floor":"1F","Symbol":"E01SP-1A","ItemName":"親 枠 R","Qty":"1","StartTime":"17:35","EndTime":"18:15","Remark1":"","Remark2":"33000"},{"SchNo":"Q260824-0037","SchDate":"2026/08/24","Line":"前組4","SdNo":"S2602592","SdName":"TOK1__E__210-E520_I","Floor":"1F","Symbol":"E01SP-1A","ItemName":"親 枠 R","Qty":"1","StartTime":"18:25","EndTime":"19:05","Remark1":"","Remark2":"33000"},{"SchNo":"Q260824-0038","SchDate":"2026/08/24","Line":"前組4","SdNo":"S2602674","SdName":"特別養護老人ﾎｰﾑ","Floor":"2F","Symbol":"SD-31-4","ItemName":"親 枠 L","Qty":"0","StartTime":"19:05","EndTime":"19:05","Remark1":"小林分 小林と共同製作","Remark2":""},{"SchNo":"Q260824-0039","SchDate":"2026/08/24","Line":"前組4","SdNo":"S2602674","SdName":"特別養護老人ﾎｰﾑ","Floor":"3F","Symbol":"SD-31-4","ItemName":"親 枠 L","Qty":"0","StartTime":"19:05","EndTime":"19:05","Remark1":"小林分 小林と共同製作","Remark2":""},{"SchNo":"Q260824-0040","SchDate":"2026/08/24","Line":"前組4","SdNo":"S2602674","SdName":"特別養護老人ﾎｰﾑ","Floor":"4F","Symbol":"SD-31-4","ItemName":"親 枠 L","Qty":"0","StartTime":"19:05","EndTime":"19:05","Remark1":"小林分","Remark2":""},{"SchNo":"Q260824-0041","SchDate":"2026/08/24","Line":"前組6","SdNo":"S2602674","SdName":"特別養護老人ﾎｰﾑ","Floor":"2F","Symbol":"SD-31-2","ItemName":"親 枠 R","Qty":"1","StartTime":"8:40","EndTime":"9:30","Remark1":"下枠曲げ遅れにより中断","Remark2":""},{"SchNo":"Q260824-0042","SchDate":"2026/08/24","Line":"前組6","SdNo":"S2602674","SdName":"特別養護老人ﾎｰﾑ","Floor":"2F","Symbol":"SD-31-2","ItemName":"親 枠 R","Qty":"1","StartTime":"9:35","EndTime":"10:05","Remark1":"下枠曲げ遅れにより中断","Remark2":""},{"SchNo":"Q260824-0043","SchDate":"2026/08/24","Line":"前組6","SdNo":"S2602674","SdName":"特別養護老人ﾎｰﾑ","Floor":"2F","Symbol":"SD-31-2","ItemName":"親 枠 L","Qty":"1","StartTime":"10:10","EndTime":"10:45","Remark1":"下枠曲げ遅れにより中断","Remark2":""},{"SchNo":"Q260824-0044","SchDate":"2026/08/24","Line":"前組6","SdNo":"S2602674","SdName":"特別養護老人ﾎｰﾑ","Floor":"2F","Symbol":"SD-31-2","ItemName":"親 枠 L","Qty":"1","StartTime":"10:50","EndTime":"11:20","Remark1":"下枠曲げ遅れにより中断","Remark2":""},{"SchNo":"Q260824-0045","SchDate":"2026/08/24","Line":"前組6","SdNo":"S2602674","SdName":"特別養護老人ﾎｰﾑ","Floor":"3F","Symbol":"SD-31-2","ItemName":"親 枠 R","Qty":"1","StartTime":"11:25","EndTime":"11:55","Remark1":"下枠曲げ遅れにより中断","Remark2":""},{"SchNo":"Q260824-0046","SchDate":"2026/08/24","Line":"前組6","SdNo":"S2602674","SdName":"特別養護老人ﾎｰﾑ","Floor":"3F","Symbol":"SD-31-2","ItemName":"親 枠 R","Qty":"1","StartTime":"12:00","EndTime":"13:30","Remark1":"下枠曲げ遅れにより中断","Remark2":""},{"SchNo":"Q260824-0047","SchDate":"2026/08/24","Line":"前組6","SdNo":"S2602674","SdName":"特別養護老人ﾎｰﾑ","Floor":"3F","Symbol":"SD-31-2","ItemName":"親 枠 L","Qty":"1","StartTime":"13:35","EndTime":"14:05","Remark1":"下枠曲げ遅れにより中断","Remark2":""},{"SchNo":"Q260824-0048","SchDate":"2026/08/24","Line":"前組6","SdNo":"S2602674","SdName":"特別養護老人ﾎｰﾑ","Floor":"2F","Symbol":"SD-31-2","ItemName":"親 枠 R","Qty":"0","StartTime":"14:05","EndTime":"14:05","Remark1":"作業時間合計105分","Remark2":"17900"},{"SchNo":"Q260824-0049","SchDate":"2026/08/24","Line":"前組6","SdNo":"S2602674","SdName":"特別養護老人ﾎｰﾑ","Floor":"2F","Symbol":"SD-31-2","ItemName":"親 枠 R","Qty":"0","StartTime":"14:05","EndTime":"14:05","Remark1":"作業時間合計30分","Remark2":"17900"},{"SchNo":"Q260824-0050","SchDate":"2026/08/24","Line":"前組6","SdNo":"S2602674","SdName":"特別養護老人ﾎｰﾑ","Floor":"2F","Symbol":"SD-31-2","ItemName":"親 枠 L","Qty":"0","StartTime":"14:05","EndTime":"14:05","Remark1":"作業時間合計30分","Remark2":"17900"},{"SchNo":"Q260824-0051","SchDate":"2026/08/24","Line":"前組6","SdNo":"S2602674","SdName":"特別養護老人ﾎｰﾑ","Floor":"2F","Symbol":"SD-31-2","ItemName":"親 枠 L","Qty":"0","StartTime":"14:05","EndTime":"14:05","Remark1":"作業時間合計45分","Remark2":"17900"},{"SchNo":"Q260824-0052","SchDate":"2026/08/24","Line":"前組6","SdNo":"S2602674","SdName":"特別養護老人ﾎｰﾑ","Floor":"3F","Symbol":"SD-31-2","ItemName":"親 枠 R","Qty":"0","StartTime":"14:05","EndTime":"14:05","Remark1":"作業時間合計35分","Remark2":"17900"},{"SchNo":"Q260824-0053","SchDate":"2026/08/24","Line":"前組6","SdNo":"S2602674","SdName":"特別養護老人ﾎｰﾑ","Floor":"3F","Symbol":"SD-31-2","ItemName":"親 枠 R","Qty":"0","StartTime":"14:05","EndTime":"14:05","Remark1":"作業時間合計30分","Remark2":"17900"},{"SchNo":"Q260824-0054","SchDate":"2026/08/24","Line":"前組6","SdNo":"S2602674","SdName":"特別養護老人ﾎｰﾑ","Floor":"3F","Symbol":"SD-31-2","ItemName":"親 枠 L","Qty":"0","StartTime":"14:05","EndTime":"14:05","Remark1":"作業時間合計30分","Remark2":"17900"},{"SchNo":"Q260824-0055","SchDate":"2026/08/24","Line":"前組6","SdNo":"S2602674","SdName":"特別養護老人ﾎｰﾑ","Floor":"3F","Symbol":"SD-31-2","ItemName":"親 枠 L","Qty":"1","StartTime":"14:10","EndTime":"14:40","Remark1":"下枠曲げ遅れにより中断","Remark2":""},{"SchNo":"Q260824-0056","SchDate":"2026/08/24","Line":"前組6","SdNo":"S2602674","SdName":"特別養護老人ﾎｰﾑ","Floor":"4F","Symbol":"SD-31-2","ItemName":"親 枠 R","Qty":"1","StartTime":"14:45","EndTime":"15:30","Remark1":"下枠曲げ遅れにより中断","Remark2":""},{"SchNo":"Q260824-0057","SchDate":"2026/08/24","Line":"前組6","SdNo":"S2602674","SdName":"特別養護老人ﾎｰﾑ","Floor":"4F","Symbol":"SD-31-2","ItemName":"親 枠 R","Qty":"1","StartTime":"15:35","EndTime":"16:05","Remark1":"下枠曲げ遅れにより中断","Remark2":""},{"SchNo":"Q260824-0058","SchDate":"2026/08/24","Line":"前組6","SdNo":"S2602674","SdName":"特別養護老人ﾎｰﾑ","Floor":"3F","Symbol":"SD-31-2","ItemName":"親 枠 L","Qty":"0","StartTime":"16:05","EndTime":"16:05","Remark1":"作業時間合計35分","Remark2":"17900"},{"SchNo":"Q260824-0059","SchDate":"2026/08/24","Line":"前組6","SdNo":"S2602674","SdName":"特別養護老人ﾎｰﾑ","Floor":"4F","Symbol":"SD-31-2","ItemName":"親 枠 R","Qty":"0","StartTime":"16:05","EndTime":"16:05","Remark1":"作業時間合計30分","Remark2":"17900"},{"SchNo":"Q260824-0060","SchDate":"2026/08/24","Line":"前組6","SdNo":"S2602674","SdName":"特別養護老人ﾎｰﾑ","Floor":"4F","Symbol":"SD-31-2","ItemName":"親 枠 R","Qty":"0","StartTime":"16:05","EndTime":"16:05","Remark1":"作業時間合計30分","Remark2":"17900"},{"SchNo":"Q260824-0061","SchDate":"2026/08/24","Line":"前組6","SdNo":"S2602674","SdName":"特別養護老人ﾎｰﾑ","Floor":"4F","Symbol":"SD-31-2","ItemName":"親 枠 L","Qty":"1","StartTime":"16:10","EndTime":"16:40","Remark1":"","Remark2":"17900"},{"SchNo":"Q260824-0062","SchDate":"2026/08/24","Line":"前組6","SdNo":"S2602674","SdName":"特別養護老人ﾎｰﾑ","Floor":"4F","Symbol":"SD-31-2","ItemName":"親 枠 L","Qty":"1","StartTime":"16:45","EndTime":"17:15","Remark1":"","Remark2":"17900"},{"SchNo":"Q260824-0063","SchDate":"2026/08/24","Line":"前組6","SdNo":"S2602592","SdName":"TOK1__E__210-E520_I","Floor":"1F","Symbol":"E01SP-1","ItemName":"親 枠 R","Qty":"0","StartTime":"17:15","EndTime":"17:15","Remark1":"本組春木分","Remark2":""},{"SchNo":"Q260824-0064","SchDate":"2026/08/24","Line":"前組6","SdNo":"S2602592","SdName":"TOK1__E__210-E520_I","Floor":"1F","Symbol":"E01SP-1","ItemName":"親 枠 R","Qty":"0","StartTime":"17:15","EndTime":"17:15","Remark1":"本組春木分","Remark2":""},{"SchNo":"Q260824-0065","SchDate":"2026/08/24","Line":"前組6","SdNo":"S2602592","SdName":"TOK1__E__210-E520_I","Floor":"1F","Symbol":"E01SP-1A","ItemName":"親 枠 R","Qty":"0","StartTime":"17:15","EndTime":"17:15","Remark1":"木村分","Remark2":""},{"SchNo":"Q260824-0066","SchDate":"2026/08/24","Line":"前組6","SdNo":"S2602592","SdName":"TOK1__E__210-E520_I","Floor":"1F","Symbol":"E01SP-1A","ItemName":"親 枠 R","Qty":"1","StartTime":"17:35","EndTime":"18:15","Remark1":"","Remark2":"33000"},{"SchNo":"Q260824-0067","SchDate":"2026/08/24","Line":"前組7","SdNo":"S2602671","SdName":"所沢市小手指一丁目計画","Floor":"2F","Symbol":"SD-213","ItemName":"親 枠 L","Qty":"1","StartTime":"8:40","EndTime":"13:05","Remark1":"曲げ未完了により中断","Remark2":""},{"SchNo":"Q260824-0068","SchDate":"2026/08/24","Line":"前組7","SdNo":"S2602671","SdName":"所沢市小手指一丁目計画","Floor":"2F","Symbol":"SD-253","ItemName":"親 枠 R","Qty":"1","StartTime":"13:25","EndTime":"16:40","Remark1":"","Remark2":"110700"},{"SchNo":"Q260824-0069","SchDate":"2026/08/24","Line":"前組7","SdNo":"S2602671","SdName":"所沢市小手指一丁目計画","Floor":"2F","Symbol":"SD-213","ItemName":"親 枠 L","Qty":"0","StartTime":"16:40","EndTime":"16:40","Remark1":"作業時間合計240分","Remark2":"109900"},{"SchNo":"Q260824-0070","SchDate":"2026/08/24","Line":"前組7","SdNo":"S2602674","SdName":"特別養護老人ﾎｰﾑ","Floor":"2F","Symbol":"SD-31A","ItemName":"親 枠 R","Qty":"1","StartTime":"17:00","EndTime":"17:40","Remark1":"","Remark2":"21600"},{"SchNo":"Q260824-0071","SchDate":"2026/08/24","Line":"前組7","SdNo":"S2602674","SdName":"特別養護老人ﾎｰﾑ","Floor":"3F","Symbol":"SD-31A","ItemName":"親 枠 R","Qty":"1","StartTime":"17:45","EndTime":"18:15","Remark1":"","Remark2":"21600"},{"SchNo":"Q260824-0072","SchDate":"2026/08/24","Line":"前組7","SdNo":"S2602674","SdName":"特別養護老人ﾎｰﾑ","Floor":"4F","Symbol":"SD-31A","ItemName":"親 枠 R","Qty":"1","StartTime":"18:20","EndTime":"18:50","Remark1":"","Remark2":"21600"},{"SchNo":"Q260824-0073","SchDate":"2026/08/24","Line":"前組7","SdNo":"S2602592","SdName":"TOK1__E__210-E520_I","Floor":"1F","Symbol":"E01SP-1A","ItemName":"親 枠 R","Qty":"1","StartTime":"19:00","EndTime":"19:50","Remark1":"吉田へ","Remark2":"33000"}]</v>
      </c>
    </row>
    <row r="2" spans="1:14" x14ac:dyDescent="0.15">
      <c r="A2" s="1" t="str">
        <f>"Q"&amp;TEXT(B2,"yyMMdd")&amp;"-"&amp;TEXT(ROW(),"0000")</f>
        <v>Q260824-0002</v>
      </c>
      <c r="B2" s="1" t="str">
        <f>TEXT(Sheet2!A2,"yyyy/MM/dd")</f>
        <v>2026/08/24</v>
      </c>
      <c r="C2" s="1" t="str">
        <f>Sheet2!B2&amp;""</f>
        <v>前組2</v>
      </c>
      <c r="D2" s="1" t="str">
        <f>Sheet2!C2&amp;""</f>
        <v>S2602671</v>
      </c>
      <c r="E2" s="1" t="str">
        <f>Sheet2!D2&amp;""</f>
        <v>所沢市小手指一丁目計画</v>
      </c>
      <c r="F2" s="1" t="str">
        <f>Sheet2!E2&amp;""</f>
        <v>1F</v>
      </c>
      <c r="G2" s="1" t="str">
        <f>Sheet2!F2&amp;""</f>
        <v>SD-115</v>
      </c>
      <c r="H2" s="1" t="str">
        <f>_xlfn.TEXTJOIN(" ",TRUE,Sheet2!G2,Sheet2!H2,Sheet2!I2)</f>
        <v>親 枠 R</v>
      </c>
      <c r="I2" s="1">
        <f>Sheet2!J2</f>
        <v>1</v>
      </c>
      <c r="J2" s="1" t="str">
        <f>Sheet2!K2&amp;""</f>
        <v>8:40</v>
      </c>
      <c r="K2" s="1" t="str">
        <f>Sheet2!L2&amp;""</f>
        <v>11:05</v>
      </c>
      <c r="L2" s="1" t="str">
        <f>Sheet2!M2&amp;""</f>
        <v>曲げ遅れにより中断</v>
      </c>
      <c r="M2" s="1" t="str">
        <f>Sheet2!N2&amp;""</f>
        <v/>
      </c>
      <c r="N2" s="1" t="str" cm="1">
        <f t="array" ref="N2">"{"&amp;_xlfn.TEXTJOIN(",",FALSE,""""&amp;ASC($A$1:$M$1)&amp;""""&amp;":"&amp;""""&amp;ASC(A2:M2)&amp;"""")&amp;"}"</f>
        <v>{"SchNo":"Q260824-0002","SchDate":"2026/08/24","Line":"前組2","SdNo":"S2602671","SdName":"所沢市小手指一丁目計画","Floor":"1F","Symbol":"SD-115","ItemName":"親 枠 R","Qty":"1","StartTime":"8:40","EndTime":"11:05","Remark1":"曲げ遅れにより中断","Remark2":""}</v>
      </c>
    </row>
    <row r="3" spans="1:14" x14ac:dyDescent="0.15">
      <c r="A3" s="1" t="str">
        <f t="shared" ref="A3:A66" si="0">"Q"&amp;TEXT(B3,"yyMMdd")&amp;"-"&amp;TEXT(ROW(),"0000")</f>
        <v>Q260824-0003</v>
      </c>
      <c r="B3" s="1" t="str">
        <f>TEXT(Sheet2!A3,"yyyy/MM/dd")</f>
        <v>2026/08/24</v>
      </c>
      <c r="C3" s="1" t="str">
        <f>Sheet2!B3&amp;""</f>
        <v>前組2</v>
      </c>
      <c r="D3" s="1" t="str">
        <f>Sheet2!C3&amp;""</f>
        <v>S2602671</v>
      </c>
      <c r="E3" s="1" t="str">
        <f>Sheet2!D3&amp;""</f>
        <v>所沢市小手指一丁目計画</v>
      </c>
      <c r="F3" s="1" t="str">
        <f>Sheet2!E3&amp;""</f>
        <v>3F</v>
      </c>
      <c r="G3" s="1" t="str">
        <f>Sheet2!F3&amp;""</f>
        <v>SD-301</v>
      </c>
      <c r="H3" s="1" t="str">
        <f>_xlfn.TEXTJOIN(" ",TRUE,Sheet2!G3,Sheet2!H3,Sheet2!I3)</f>
        <v>親 枠 L</v>
      </c>
      <c r="I3" s="1">
        <f>Sheet2!J3</f>
        <v>1</v>
      </c>
      <c r="J3" s="1" t="str">
        <f>Sheet2!K3&amp;""</f>
        <v>11:25</v>
      </c>
      <c r="K3" s="1" t="str">
        <f>Sheet2!L3&amp;""</f>
        <v>14:25</v>
      </c>
      <c r="L3" s="1" t="str">
        <f>Sheet2!M3&amp;""</f>
        <v>曲げ遅れにより中断</v>
      </c>
      <c r="M3" s="1" t="str">
        <f>Sheet2!N3&amp;""</f>
        <v/>
      </c>
      <c r="N3" s="1" t="str" cm="1">
        <f t="array" ref="N3">"{"&amp;_xlfn.TEXTJOIN(",",FALSE,""""&amp;ASC($A$1:$M$1)&amp;""""&amp;":"&amp;""""&amp;ASC(A3:M3)&amp;"""")&amp;"}"</f>
        <v>{"SchNo":"Q260824-0003","SchDate":"2026/08/24","Line":"前組2","SdNo":"S2602671","SdName":"所沢市小手指一丁目計画","Floor":"3F","Symbol":"SD-301","ItemName":"親 枠 L","Qty":"1","StartTime":"11:25","EndTime":"14:25","Remark1":"曲げ遅れにより中断","Remark2":""}</v>
      </c>
    </row>
    <row r="4" spans="1:14" x14ac:dyDescent="0.15">
      <c r="A4" s="1" t="str">
        <f t="shared" si="0"/>
        <v>Q260824-0004</v>
      </c>
      <c r="B4" s="1" t="str">
        <f>TEXT(Sheet2!A4,"yyyy/MM/dd")</f>
        <v>2026/08/24</v>
      </c>
      <c r="C4" s="1" t="str">
        <f>Sheet2!B4&amp;""</f>
        <v>前組2</v>
      </c>
      <c r="D4" s="1" t="str">
        <f>Sheet2!C4&amp;""</f>
        <v>S2602674</v>
      </c>
      <c r="E4" s="1" t="str">
        <f>Sheet2!D4&amp;""</f>
        <v>特別養護老人ホーム</v>
      </c>
      <c r="F4" s="1" t="str">
        <f>Sheet2!E4&amp;""</f>
        <v>2F</v>
      </c>
      <c r="G4" s="1" t="str">
        <f>Sheet2!F4&amp;""</f>
        <v>SD-31-1</v>
      </c>
      <c r="H4" s="1" t="str">
        <f>_xlfn.TEXTJOIN(" ",TRUE,Sheet2!G4,Sheet2!H4,Sheet2!I4)</f>
        <v>親 枠 R</v>
      </c>
      <c r="I4" s="1">
        <f>Sheet2!J4</f>
        <v>1</v>
      </c>
      <c r="J4" s="1" t="str">
        <f>Sheet2!K4&amp;""</f>
        <v>14:45</v>
      </c>
      <c r="K4" s="1" t="str">
        <f>Sheet2!L4&amp;""</f>
        <v>15:30</v>
      </c>
      <c r="L4" s="1" t="str">
        <f>Sheet2!M4&amp;""</f>
        <v>作業者に指示出し等で段取り時間増</v>
      </c>
      <c r="M4" s="1" t="str">
        <f>Sheet2!N4&amp;""</f>
        <v>15600</v>
      </c>
      <c r="N4" s="1" t="str" cm="1">
        <f t="array" ref="N4">"{"&amp;_xlfn.TEXTJOIN(",",FALSE,""""&amp;ASC($A$1:$M$1)&amp;""""&amp;":"&amp;""""&amp;ASC(A4:M4)&amp;"""")&amp;"}"</f>
        <v>{"SchNo":"Q260824-0004","SchDate":"2026/08/24","Line":"前組2","SdNo":"S2602674","SdName":"特別養護老人ﾎｰﾑ","Floor":"2F","Symbol":"SD-31-1","ItemName":"親 枠 R","Qty":"1","StartTime":"14:45","EndTime":"15:30","Remark1":"作業者に指示出し等で段取り時間増","Remark2":"15600"}</v>
      </c>
    </row>
    <row r="5" spans="1:14" x14ac:dyDescent="0.15">
      <c r="A5" s="1" t="str">
        <f t="shared" si="0"/>
        <v>Q260824-0005</v>
      </c>
      <c r="B5" s="1" t="str">
        <f>TEXT(Sheet2!A5,"yyyy/MM/dd")</f>
        <v>2026/08/24</v>
      </c>
      <c r="C5" s="1" t="str">
        <f>Sheet2!B5&amp;""</f>
        <v>前組2</v>
      </c>
      <c r="D5" s="1" t="str">
        <f>Sheet2!C5&amp;""</f>
        <v>S2602671</v>
      </c>
      <c r="E5" s="1" t="str">
        <f>Sheet2!D5&amp;""</f>
        <v>所沢市小手指一丁目計画</v>
      </c>
      <c r="F5" s="1" t="str">
        <f>Sheet2!E5&amp;""</f>
        <v>1F</v>
      </c>
      <c r="G5" s="1" t="str">
        <f>Sheet2!F5&amp;""</f>
        <v>SD-115</v>
      </c>
      <c r="H5" s="1" t="str">
        <f>_xlfn.TEXTJOIN(" ",TRUE,Sheet2!G5,Sheet2!H5,Sheet2!I5)</f>
        <v>親 枠 R</v>
      </c>
      <c r="I5" s="1">
        <f>Sheet2!J5</f>
        <v>0</v>
      </c>
      <c r="J5" s="1" t="str">
        <f>Sheet2!K5&amp;""</f>
        <v>15:30</v>
      </c>
      <c r="K5" s="1" t="str">
        <f>Sheet2!L5&amp;""</f>
        <v>15:30</v>
      </c>
      <c r="L5" s="1" t="str">
        <f>Sheet2!M5&amp;""</f>
        <v>作業時間合計95分</v>
      </c>
      <c r="M5" s="1" t="str">
        <f>Sheet2!N5&amp;""</f>
        <v>78000</v>
      </c>
      <c r="N5" s="1" t="str" cm="1">
        <f t="array" ref="N5">"{"&amp;_xlfn.TEXTJOIN(",",FALSE,""""&amp;ASC($A$1:$M$1)&amp;""""&amp;":"&amp;""""&amp;ASC(A5:M5)&amp;"""")&amp;"}"</f>
        <v>{"SchNo":"Q260824-0005","SchDate":"2026/08/24","Line":"前組2","SdNo":"S2602671","SdName":"所沢市小手指一丁目計画","Floor":"1F","Symbol":"SD-115","ItemName":"親 枠 R","Qty":"0","StartTime":"15:30","EndTime":"15:30","Remark1":"作業時間合計95分","Remark2":"78000"}</v>
      </c>
    </row>
    <row r="6" spans="1:14" x14ac:dyDescent="0.15">
      <c r="A6" s="1" t="str">
        <f t="shared" si="0"/>
        <v>Q260824-0006</v>
      </c>
      <c r="B6" s="1" t="str">
        <f>TEXT(Sheet2!A6,"yyyy/MM/dd")</f>
        <v>2026/08/24</v>
      </c>
      <c r="C6" s="1" t="str">
        <f>Sheet2!B6&amp;""</f>
        <v>前組2</v>
      </c>
      <c r="D6" s="1" t="str">
        <f>Sheet2!C6&amp;""</f>
        <v>S2602671</v>
      </c>
      <c r="E6" s="1" t="str">
        <f>Sheet2!D6&amp;""</f>
        <v>所沢市小手指一丁目計画</v>
      </c>
      <c r="F6" s="1" t="str">
        <f>Sheet2!E6&amp;""</f>
        <v>3F</v>
      </c>
      <c r="G6" s="1" t="str">
        <f>Sheet2!F6&amp;""</f>
        <v>SD-301</v>
      </c>
      <c r="H6" s="1" t="str">
        <f>_xlfn.TEXTJOIN(" ",TRUE,Sheet2!G6,Sheet2!H6,Sheet2!I6)</f>
        <v>親 枠 L</v>
      </c>
      <c r="I6" s="1">
        <f>Sheet2!J6</f>
        <v>0</v>
      </c>
      <c r="J6" s="1" t="str">
        <f>Sheet2!K6&amp;""</f>
        <v>15:30</v>
      </c>
      <c r="K6" s="1" t="str">
        <f>Sheet2!L6&amp;""</f>
        <v>15:30</v>
      </c>
      <c r="L6" s="1" t="str">
        <f>Sheet2!M6&amp;""</f>
        <v>作業時間合計115分</v>
      </c>
      <c r="M6" s="1" t="str">
        <f>Sheet2!N6&amp;""</f>
        <v>73800</v>
      </c>
      <c r="N6" s="1" t="str" cm="1">
        <f t="array" ref="N6">"{"&amp;_xlfn.TEXTJOIN(",",FALSE,""""&amp;ASC($A$1:$M$1)&amp;""""&amp;":"&amp;""""&amp;ASC(A6:M6)&amp;"""")&amp;"}"</f>
        <v>{"SchNo":"Q260824-0006","SchDate":"2026/08/24","Line":"前組2","SdNo":"S2602671","SdName":"所沢市小手指一丁目計画","Floor":"3F","Symbol":"SD-301","ItemName":"親 枠 L","Qty":"0","StartTime":"15:30","EndTime":"15:30","Remark1":"作業時間合計115分","Remark2":"73800"}</v>
      </c>
    </row>
    <row r="7" spans="1:14" x14ac:dyDescent="0.15">
      <c r="A7" s="1" t="str">
        <f t="shared" si="0"/>
        <v>Q260824-0007</v>
      </c>
      <c r="B7" s="1" t="str">
        <f>TEXT(Sheet2!A7,"yyyy/MM/dd")</f>
        <v>2026/08/24</v>
      </c>
      <c r="C7" s="1" t="str">
        <f>Sheet2!B7&amp;""</f>
        <v>前組2</v>
      </c>
      <c r="D7" s="1" t="str">
        <f>Sheet2!C7&amp;""</f>
        <v>S2602674</v>
      </c>
      <c r="E7" s="1" t="str">
        <f>Sheet2!D7&amp;""</f>
        <v>特別養護老人ホーム</v>
      </c>
      <c r="F7" s="1" t="str">
        <f>Sheet2!E7&amp;""</f>
        <v>3F</v>
      </c>
      <c r="G7" s="1" t="str">
        <f>Sheet2!F7&amp;""</f>
        <v>SD-31-1</v>
      </c>
      <c r="H7" s="1" t="str">
        <f>_xlfn.TEXTJOIN(" ",TRUE,Sheet2!G7,Sheet2!H7,Sheet2!I7)</f>
        <v>親 枠 R</v>
      </c>
      <c r="I7" s="1">
        <f>Sheet2!J7</f>
        <v>1</v>
      </c>
      <c r="J7" s="1" t="str">
        <f>Sheet2!K7&amp;""</f>
        <v>15:35</v>
      </c>
      <c r="K7" s="1" t="str">
        <f>Sheet2!L7&amp;""</f>
        <v>16:05</v>
      </c>
      <c r="L7" s="1" t="str">
        <f>Sheet2!M7&amp;""</f>
        <v/>
      </c>
      <c r="M7" s="1" t="str">
        <f>Sheet2!N7&amp;""</f>
        <v>15600</v>
      </c>
      <c r="N7" s="1" t="str" cm="1">
        <f t="array" ref="N7">"{"&amp;_xlfn.TEXTJOIN(",",FALSE,""""&amp;ASC($A$1:$M$1)&amp;""""&amp;":"&amp;""""&amp;ASC(A7:M7)&amp;"""")&amp;"}"</f>
        <v>{"SchNo":"Q260824-0007","SchDate":"2026/08/24","Line":"前組2","SdNo":"S2602674","SdName":"特別養護老人ﾎｰﾑ","Floor":"3F","Symbol":"SD-31-1","ItemName":"親 枠 R","Qty":"1","StartTime":"15:35","EndTime":"16:05","Remark1":"","Remark2":"15600"}</v>
      </c>
    </row>
    <row r="8" spans="1:14" x14ac:dyDescent="0.15">
      <c r="A8" s="1" t="str">
        <f t="shared" si="0"/>
        <v>Q260824-0008</v>
      </c>
      <c r="B8" s="1" t="str">
        <f>TEXT(Sheet2!A8,"yyyy/MM/dd")</f>
        <v>2026/08/24</v>
      </c>
      <c r="C8" s="1" t="str">
        <f>Sheet2!B8&amp;""</f>
        <v>前組2</v>
      </c>
      <c r="D8" s="1" t="str">
        <f>Sheet2!C8&amp;""</f>
        <v>S2602674</v>
      </c>
      <c r="E8" s="1" t="str">
        <f>Sheet2!D8&amp;""</f>
        <v>特別養護老人ホーム</v>
      </c>
      <c r="F8" s="1" t="str">
        <f>Sheet2!E8&amp;""</f>
        <v>4F</v>
      </c>
      <c r="G8" s="1" t="str">
        <f>Sheet2!F8&amp;""</f>
        <v>SD-31-1</v>
      </c>
      <c r="H8" s="1" t="str">
        <f>_xlfn.TEXTJOIN(" ",TRUE,Sheet2!G8,Sheet2!H8,Sheet2!I8)</f>
        <v>親 枠 R</v>
      </c>
      <c r="I8" s="1">
        <f>Sheet2!J8</f>
        <v>1</v>
      </c>
      <c r="J8" s="1" t="str">
        <f>Sheet2!K8&amp;""</f>
        <v>16:10</v>
      </c>
      <c r="K8" s="1" t="str">
        <f>Sheet2!L8&amp;""</f>
        <v>16:40</v>
      </c>
      <c r="L8" s="1" t="str">
        <f>Sheet2!M8&amp;""</f>
        <v/>
      </c>
      <c r="M8" s="1" t="str">
        <f>Sheet2!N8&amp;""</f>
        <v>15600</v>
      </c>
      <c r="N8" s="1" t="str" cm="1">
        <f t="array" ref="N8">"{"&amp;_xlfn.TEXTJOIN(",",FALSE,""""&amp;ASC($A$1:$M$1)&amp;""""&amp;":"&amp;""""&amp;ASC(A8:M8)&amp;"""")&amp;"}"</f>
        <v>{"SchNo":"Q260824-0008","SchDate":"2026/08/24","Line":"前組2","SdNo":"S2602674","SdName":"特別養護老人ﾎｰﾑ","Floor":"4F","Symbol":"SD-31-1","ItemName":"親 枠 R","Qty":"1","StartTime":"16:10","EndTime":"16:40","Remark1":"","Remark2":"15600"}</v>
      </c>
    </row>
    <row r="9" spans="1:14" x14ac:dyDescent="0.15">
      <c r="A9" s="1" t="str">
        <f t="shared" si="0"/>
        <v>Q260824-0009</v>
      </c>
      <c r="B9" s="1" t="str">
        <f>TEXT(Sheet2!A9,"yyyy/MM/dd")</f>
        <v>2026/08/24</v>
      </c>
      <c r="C9" s="1" t="str">
        <f>Sheet2!B9&amp;""</f>
        <v>前組2</v>
      </c>
      <c r="D9" s="1" t="str">
        <f>Sheet2!C9&amp;""</f>
        <v>S2602674</v>
      </c>
      <c r="E9" s="1" t="str">
        <f>Sheet2!D9&amp;""</f>
        <v>特別養護老人ホーム</v>
      </c>
      <c r="F9" s="1" t="str">
        <f>Sheet2!E9&amp;""</f>
        <v>2F</v>
      </c>
      <c r="G9" s="1" t="str">
        <f>Sheet2!F9&amp;""</f>
        <v>SD-31-4</v>
      </c>
      <c r="H9" s="1" t="str">
        <f>_xlfn.TEXTJOIN(" ",TRUE,Sheet2!G9,Sheet2!H9,Sheet2!I9)</f>
        <v>親 枠 L</v>
      </c>
      <c r="I9" s="1">
        <f>Sheet2!J9</f>
        <v>1</v>
      </c>
      <c r="J9" s="1" t="str">
        <f>Sheet2!K9&amp;""</f>
        <v>17:00</v>
      </c>
      <c r="K9" s="1" t="str">
        <f>Sheet2!L9&amp;""</f>
        <v>17:40</v>
      </c>
      <c r="L9" s="1" t="str">
        <f>Sheet2!M9&amp;""</f>
        <v>森山と共同製作 作業時間合計25分</v>
      </c>
      <c r="M9" s="1" t="str">
        <f>Sheet2!N9&amp;""</f>
        <v>15100</v>
      </c>
      <c r="N9" s="1" t="str" cm="1">
        <f t="array" ref="N9">"{"&amp;_xlfn.TEXTJOIN(",",FALSE,""""&amp;ASC($A$1:$M$1)&amp;""""&amp;":"&amp;""""&amp;ASC(A9:M9)&amp;"""")&amp;"}"</f>
        <v>{"SchNo":"Q260824-0009","SchDate":"2026/08/24","Line":"前組2","SdNo":"S2602674","SdName":"特別養護老人ﾎｰﾑ","Floor":"2F","Symbol":"SD-31-4","ItemName":"親 枠 L","Qty":"1","StartTime":"17:00","EndTime":"17:40","Remark1":"森山と共同製作 作業時間合計25分","Remark2":"15100"}</v>
      </c>
    </row>
    <row r="10" spans="1:14" x14ac:dyDescent="0.15">
      <c r="A10" s="1" t="str">
        <f t="shared" si="0"/>
        <v>Q260824-0010</v>
      </c>
      <c r="B10" s="1" t="str">
        <f>TEXT(Sheet2!A10,"yyyy/MM/dd")</f>
        <v>2026/08/24</v>
      </c>
      <c r="C10" s="1" t="str">
        <f>Sheet2!B10&amp;""</f>
        <v>前組2</v>
      </c>
      <c r="D10" s="1" t="str">
        <f>Sheet2!C10&amp;""</f>
        <v>S2602674</v>
      </c>
      <c r="E10" s="1" t="str">
        <f>Sheet2!D10&amp;""</f>
        <v>特別養護老人ホーム</v>
      </c>
      <c r="F10" s="1" t="str">
        <f>Sheet2!E10&amp;""</f>
        <v>3F</v>
      </c>
      <c r="G10" s="1" t="str">
        <f>Sheet2!F10&amp;""</f>
        <v>SD-31-4</v>
      </c>
      <c r="H10" s="1" t="str">
        <f>_xlfn.TEXTJOIN(" ",TRUE,Sheet2!G10,Sheet2!H10,Sheet2!I10)</f>
        <v>親 枠 L</v>
      </c>
      <c r="I10" s="1">
        <f>Sheet2!J10</f>
        <v>1</v>
      </c>
      <c r="J10" s="1" t="str">
        <f>Sheet2!K10&amp;""</f>
        <v>17:45</v>
      </c>
      <c r="K10" s="1" t="str">
        <f>Sheet2!L10&amp;""</f>
        <v>18:15</v>
      </c>
      <c r="L10" s="1" t="str">
        <f>Sheet2!M10&amp;""</f>
        <v>森山と共同製作 作業時間合計25分</v>
      </c>
      <c r="M10" s="1" t="str">
        <f>Sheet2!N10&amp;""</f>
        <v>15100</v>
      </c>
      <c r="N10" s="1" t="str" cm="1">
        <f t="array" ref="N10">"{"&amp;_xlfn.TEXTJOIN(",",FALSE,""""&amp;ASC($A$1:$M$1)&amp;""""&amp;":"&amp;""""&amp;ASC(A10:M10)&amp;"""")&amp;"}"</f>
        <v>{"SchNo":"Q260824-0010","SchDate":"2026/08/24","Line":"前組2","SdNo":"S2602674","SdName":"特別養護老人ﾎｰﾑ","Floor":"3F","Symbol":"SD-31-4","ItemName":"親 枠 L","Qty":"1","StartTime":"17:45","EndTime":"18:15","Remark1":"森山と共同製作 作業時間合計25分","Remark2":"15100"}</v>
      </c>
    </row>
    <row r="11" spans="1:14" x14ac:dyDescent="0.15">
      <c r="A11" s="1" t="str">
        <f t="shared" si="0"/>
        <v>Q260824-0011</v>
      </c>
      <c r="B11" s="1" t="str">
        <f>TEXT(Sheet2!A11,"yyyy/MM/dd")</f>
        <v>2026/08/24</v>
      </c>
      <c r="C11" s="1" t="str">
        <f>Sheet2!B11&amp;""</f>
        <v>前組2</v>
      </c>
      <c r="D11" s="1" t="str">
        <f>Sheet2!C11&amp;""</f>
        <v>S2602674</v>
      </c>
      <c r="E11" s="1" t="str">
        <f>Sheet2!D11&amp;""</f>
        <v>特別養護老人ホーム</v>
      </c>
      <c r="F11" s="1" t="str">
        <f>Sheet2!E11&amp;""</f>
        <v>4F</v>
      </c>
      <c r="G11" s="1" t="str">
        <f>Sheet2!F11&amp;""</f>
        <v>SD-31-4</v>
      </c>
      <c r="H11" s="1" t="str">
        <f>_xlfn.TEXTJOIN(" ",TRUE,Sheet2!G11,Sheet2!H11,Sheet2!I11)</f>
        <v>親 枠 L</v>
      </c>
      <c r="I11" s="1">
        <f>Sheet2!J11</f>
        <v>1</v>
      </c>
      <c r="J11" s="1" t="str">
        <f>Sheet2!K11&amp;""</f>
        <v>18:20</v>
      </c>
      <c r="K11" s="1" t="str">
        <f>Sheet2!L11&amp;""</f>
        <v>18:50</v>
      </c>
      <c r="L11" s="1" t="str">
        <f>Sheet2!M11&amp;""</f>
        <v>森山へ</v>
      </c>
      <c r="M11" s="1" t="str">
        <f>Sheet2!N11&amp;""</f>
        <v>15100</v>
      </c>
      <c r="N11" s="1" t="str" cm="1">
        <f t="array" ref="N11">"{"&amp;_xlfn.TEXTJOIN(",",FALSE,""""&amp;ASC($A$1:$M$1)&amp;""""&amp;":"&amp;""""&amp;ASC(A11:M11)&amp;"""")&amp;"}"</f>
        <v>{"SchNo":"Q260824-0011","SchDate":"2026/08/24","Line":"前組2","SdNo":"S2602674","SdName":"特別養護老人ﾎｰﾑ","Floor":"4F","Symbol":"SD-31-4","ItemName":"親 枠 L","Qty":"1","StartTime":"18:20","EndTime":"18:50","Remark1":"森山へ","Remark2":"15100"}</v>
      </c>
    </row>
    <row r="12" spans="1:14" x14ac:dyDescent="0.15">
      <c r="A12" s="1" t="str">
        <f t="shared" si="0"/>
        <v>Q260824-0012</v>
      </c>
      <c r="B12" s="1" t="str">
        <f>TEXT(Sheet2!A12,"yyyy/MM/dd")</f>
        <v>2026/08/24</v>
      </c>
      <c r="C12" s="1" t="str">
        <f>Sheet2!B12&amp;""</f>
        <v>前組4</v>
      </c>
      <c r="D12" s="1" t="str">
        <f>Sheet2!C12&amp;""</f>
        <v>S2602674</v>
      </c>
      <c r="E12" s="1" t="str">
        <f>Sheet2!D12&amp;""</f>
        <v>特別養護老人ホーム</v>
      </c>
      <c r="F12" s="1" t="str">
        <f>Sheet2!E12&amp;""</f>
        <v>2F</v>
      </c>
      <c r="G12" s="1" t="str">
        <f>Sheet2!F12&amp;""</f>
        <v>SD-31</v>
      </c>
      <c r="H12" s="1" t="str">
        <f>_xlfn.TEXTJOIN(" ",TRUE,Sheet2!G12,Sheet2!H12,Sheet2!I12)</f>
        <v>親 枠 R</v>
      </c>
      <c r="I12" s="1">
        <f>Sheet2!J12</f>
        <v>1</v>
      </c>
      <c r="J12" s="1" t="str">
        <f>Sheet2!K12&amp;""</f>
        <v>8:40</v>
      </c>
      <c r="K12" s="1" t="str">
        <f>Sheet2!L12&amp;""</f>
        <v>9:30</v>
      </c>
      <c r="L12" s="1" t="str">
        <f>Sheet2!M12&amp;""</f>
        <v>下枠曲げ遅れにより中断</v>
      </c>
      <c r="M12" s="1" t="str">
        <f>Sheet2!N12&amp;""</f>
        <v/>
      </c>
      <c r="N12" s="1" t="str" cm="1">
        <f t="array" ref="N12">"{"&amp;_xlfn.TEXTJOIN(",",FALSE,""""&amp;ASC($A$1:$M$1)&amp;""""&amp;":"&amp;""""&amp;ASC(A12:M12)&amp;"""")&amp;"}"</f>
        <v>{"SchNo":"Q260824-0012","SchDate":"2026/08/24","Line":"前組4","SdNo":"S2602674","SdName":"特別養護老人ﾎｰﾑ","Floor":"2F","Symbol":"SD-31","ItemName":"親 枠 R","Qty":"1","StartTime":"8:40","EndTime":"9:30","Remark1":"下枠曲げ遅れにより中断","Remark2":""}</v>
      </c>
    </row>
    <row r="13" spans="1:14" x14ac:dyDescent="0.15">
      <c r="A13" s="1" t="str">
        <f t="shared" si="0"/>
        <v>Q260824-0013</v>
      </c>
      <c r="B13" s="1" t="str">
        <f>TEXT(Sheet2!A13,"yyyy/MM/dd")</f>
        <v>2026/08/24</v>
      </c>
      <c r="C13" s="1" t="str">
        <f>Sheet2!B13&amp;""</f>
        <v>前組4</v>
      </c>
      <c r="D13" s="1" t="str">
        <f>Sheet2!C13&amp;""</f>
        <v>S2602674</v>
      </c>
      <c r="E13" s="1" t="str">
        <f>Sheet2!D13&amp;""</f>
        <v>特別養護老人ホーム</v>
      </c>
      <c r="F13" s="1" t="str">
        <f>Sheet2!E13&amp;""</f>
        <v>2F</v>
      </c>
      <c r="G13" s="1" t="str">
        <f>Sheet2!F13&amp;""</f>
        <v>SD-31</v>
      </c>
      <c r="H13" s="1" t="str">
        <f>_xlfn.TEXTJOIN(" ",TRUE,Sheet2!G13,Sheet2!H13,Sheet2!I13)</f>
        <v>親 枠 R</v>
      </c>
      <c r="I13" s="1">
        <f>Sheet2!J13</f>
        <v>1</v>
      </c>
      <c r="J13" s="1" t="str">
        <f>Sheet2!K13&amp;""</f>
        <v>9:35</v>
      </c>
      <c r="K13" s="1" t="str">
        <f>Sheet2!L13&amp;""</f>
        <v>10:05</v>
      </c>
      <c r="L13" s="1" t="str">
        <f>Sheet2!M13&amp;""</f>
        <v>下枠曲げ遅れにより中断</v>
      </c>
      <c r="M13" s="1" t="str">
        <f>Sheet2!N13&amp;""</f>
        <v/>
      </c>
      <c r="N13" s="1" t="str" cm="1">
        <f t="array" ref="N13">"{"&amp;_xlfn.TEXTJOIN(",",FALSE,""""&amp;ASC($A$1:$M$1)&amp;""""&amp;":"&amp;""""&amp;ASC(A13:M13)&amp;"""")&amp;"}"</f>
        <v>{"SchNo":"Q260824-0013","SchDate":"2026/08/24","Line":"前組4","SdNo":"S2602674","SdName":"特別養護老人ﾎｰﾑ","Floor":"2F","Symbol":"SD-31","ItemName":"親 枠 R","Qty":"1","StartTime":"9:35","EndTime":"10:05","Remark1":"下枠曲げ遅れにより中断","Remark2":""}</v>
      </c>
    </row>
    <row r="14" spans="1:14" x14ac:dyDescent="0.15">
      <c r="A14" s="1" t="str">
        <f t="shared" si="0"/>
        <v>Q260824-0014</v>
      </c>
      <c r="B14" s="1" t="str">
        <f>TEXT(Sheet2!A14,"yyyy/MM/dd")</f>
        <v>2026/08/24</v>
      </c>
      <c r="C14" s="1" t="str">
        <f>Sheet2!B14&amp;""</f>
        <v>前組4</v>
      </c>
      <c r="D14" s="1" t="str">
        <f>Sheet2!C14&amp;""</f>
        <v>S2602674</v>
      </c>
      <c r="E14" s="1" t="str">
        <f>Sheet2!D14&amp;""</f>
        <v>特別養護老人ホーム</v>
      </c>
      <c r="F14" s="1" t="str">
        <f>Sheet2!E14&amp;""</f>
        <v>2F</v>
      </c>
      <c r="G14" s="1" t="str">
        <f>Sheet2!F14&amp;""</f>
        <v>SD-31</v>
      </c>
      <c r="H14" s="1" t="str">
        <f>_xlfn.TEXTJOIN(" ",TRUE,Sheet2!G14,Sheet2!H14,Sheet2!I14)</f>
        <v>親 枠 R</v>
      </c>
      <c r="I14" s="1">
        <f>Sheet2!J14</f>
        <v>1</v>
      </c>
      <c r="J14" s="1" t="str">
        <f>Sheet2!K14&amp;""</f>
        <v>10:10</v>
      </c>
      <c r="K14" s="1" t="str">
        <f>Sheet2!L14&amp;""</f>
        <v>10:45</v>
      </c>
      <c r="L14" s="1" t="str">
        <f>Sheet2!M14&amp;""</f>
        <v>下枠曲げ遅れにより中断</v>
      </c>
      <c r="M14" s="1" t="str">
        <f>Sheet2!N14&amp;""</f>
        <v/>
      </c>
      <c r="N14" s="1" t="str" cm="1">
        <f t="array" ref="N14">"{"&amp;_xlfn.TEXTJOIN(",",FALSE,""""&amp;ASC($A$1:$M$1)&amp;""""&amp;":"&amp;""""&amp;ASC(A14:M14)&amp;"""")&amp;"}"</f>
        <v>{"SchNo":"Q260824-0014","SchDate":"2026/08/24","Line":"前組4","SdNo":"S2602674","SdName":"特別養護老人ﾎｰﾑ","Floor":"2F","Symbol":"SD-31","ItemName":"親 枠 R","Qty":"1","StartTime":"10:10","EndTime":"10:45","Remark1":"下枠曲げ遅れにより中断","Remark2":""}</v>
      </c>
    </row>
    <row r="15" spans="1:14" x14ac:dyDescent="0.15">
      <c r="A15" s="1" t="str">
        <f t="shared" si="0"/>
        <v>Q260824-0015</v>
      </c>
      <c r="B15" s="1" t="str">
        <f>TEXT(Sheet2!A15,"yyyy/MM/dd")</f>
        <v>2026/08/24</v>
      </c>
      <c r="C15" s="1" t="str">
        <f>Sheet2!B15&amp;""</f>
        <v>前組4</v>
      </c>
      <c r="D15" s="1" t="str">
        <f>Sheet2!C15&amp;""</f>
        <v>S2602674</v>
      </c>
      <c r="E15" s="1" t="str">
        <f>Sheet2!D15&amp;""</f>
        <v>特別養護老人ホーム</v>
      </c>
      <c r="F15" s="1" t="str">
        <f>Sheet2!E15&amp;""</f>
        <v>2F</v>
      </c>
      <c r="G15" s="1" t="str">
        <f>Sheet2!F15&amp;""</f>
        <v>SD-31</v>
      </c>
      <c r="H15" s="1" t="str">
        <f>_xlfn.TEXTJOIN(" ",TRUE,Sheet2!G15,Sheet2!H15,Sheet2!I15)</f>
        <v>親 枠 L</v>
      </c>
      <c r="I15" s="1">
        <f>Sheet2!J15</f>
        <v>1</v>
      </c>
      <c r="J15" s="1" t="str">
        <f>Sheet2!K15&amp;""</f>
        <v>10:50</v>
      </c>
      <c r="K15" s="1" t="str">
        <f>Sheet2!L15&amp;""</f>
        <v>11:20</v>
      </c>
      <c r="L15" s="1" t="str">
        <f>Sheet2!M15&amp;""</f>
        <v>下枠曲げ遅れにより中断</v>
      </c>
      <c r="M15" s="1" t="str">
        <f>Sheet2!N15&amp;""</f>
        <v/>
      </c>
      <c r="N15" s="1" t="str" cm="1">
        <f t="array" ref="N15">"{"&amp;_xlfn.TEXTJOIN(",",FALSE,""""&amp;ASC($A$1:$M$1)&amp;""""&amp;":"&amp;""""&amp;ASC(A15:M15)&amp;"""")&amp;"}"</f>
        <v>{"SchNo":"Q260824-0015","SchDate":"2026/08/24","Line":"前組4","SdNo":"S2602674","SdName":"特別養護老人ﾎｰﾑ","Floor":"2F","Symbol":"SD-31","ItemName":"親 枠 L","Qty":"1","StartTime":"10:50","EndTime":"11:20","Remark1":"下枠曲げ遅れにより中断","Remark2":""}</v>
      </c>
    </row>
    <row r="16" spans="1:14" x14ac:dyDescent="0.15">
      <c r="A16" s="1" t="str">
        <f t="shared" si="0"/>
        <v>Q260824-0016</v>
      </c>
      <c r="B16" s="1" t="str">
        <f>TEXT(Sheet2!A16,"yyyy/MM/dd")</f>
        <v>2026/08/24</v>
      </c>
      <c r="C16" s="1" t="str">
        <f>Sheet2!B16&amp;""</f>
        <v>前組4</v>
      </c>
      <c r="D16" s="1" t="str">
        <f>Sheet2!C16&amp;""</f>
        <v>S2602674</v>
      </c>
      <c r="E16" s="1" t="str">
        <f>Sheet2!D16&amp;""</f>
        <v>特別養護老人ホーム</v>
      </c>
      <c r="F16" s="1" t="str">
        <f>Sheet2!E16&amp;""</f>
        <v>3F</v>
      </c>
      <c r="G16" s="1" t="str">
        <f>Sheet2!F16&amp;""</f>
        <v>SD-31</v>
      </c>
      <c r="H16" s="1" t="str">
        <f>_xlfn.TEXTJOIN(" ",TRUE,Sheet2!G16,Sheet2!H16,Sheet2!I16)</f>
        <v>親 枠 R</v>
      </c>
      <c r="I16" s="1">
        <f>Sheet2!J16</f>
        <v>1</v>
      </c>
      <c r="J16" s="1" t="str">
        <f>Sheet2!K16&amp;""</f>
        <v>11:25</v>
      </c>
      <c r="K16" s="1" t="str">
        <f>Sheet2!L16&amp;""</f>
        <v>11:55</v>
      </c>
      <c r="L16" s="1" t="str">
        <f>Sheet2!M16&amp;""</f>
        <v>下枠曲げ遅れにより中断</v>
      </c>
      <c r="M16" s="1" t="str">
        <f>Sheet2!N16&amp;""</f>
        <v/>
      </c>
      <c r="N16" s="1" t="str" cm="1">
        <f t="array" ref="N16">"{"&amp;_xlfn.TEXTJOIN(",",FALSE,""""&amp;ASC($A$1:$M$1)&amp;""""&amp;":"&amp;""""&amp;ASC(A16:M16)&amp;"""")&amp;"}"</f>
        <v>{"SchNo":"Q260824-0016","SchDate":"2026/08/24","Line":"前組4","SdNo":"S2602674","SdName":"特別養護老人ﾎｰﾑ","Floor":"3F","Symbol":"SD-31","ItemName":"親 枠 R","Qty":"1","StartTime":"11:25","EndTime":"11:55","Remark1":"下枠曲げ遅れにより中断","Remark2":""}</v>
      </c>
    </row>
    <row r="17" spans="1:14" x14ac:dyDescent="0.15">
      <c r="A17" s="1" t="str">
        <f t="shared" si="0"/>
        <v>Q260824-0017</v>
      </c>
      <c r="B17" s="1" t="str">
        <f>TEXT(Sheet2!A17,"yyyy/MM/dd")</f>
        <v>2026/08/24</v>
      </c>
      <c r="C17" s="1" t="str">
        <f>Sheet2!B17&amp;""</f>
        <v>前組4</v>
      </c>
      <c r="D17" s="1" t="str">
        <f>Sheet2!C17&amp;""</f>
        <v>S2602674</v>
      </c>
      <c r="E17" s="1" t="str">
        <f>Sheet2!D17&amp;""</f>
        <v>特別養護老人ホーム</v>
      </c>
      <c r="F17" s="1" t="str">
        <f>Sheet2!E17&amp;""</f>
        <v>3F</v>
      </c>
      <c r="G17" s="1" t="str">
        <f>Sheet2!F17&amp;""</f>
        <v>SD-31</v>
      </c>
      <c r="H17" s="1" t="str">
        <f>_xlfn.TEXTJOIN(" ",TRUE,Sheet2!G17,Sheet2!H17,Sheet2!I17)</f>
        <v>親 枠 R</v>
      </c>
      <c r="I17" s="1">
        <f>Sheet2!J17</f>
        <v>1</v>
      </c>
      <c r="J17" s="1" t="str">
        <f>Sheet2!K17&amp;""</f>
        <v>12:00</v>
      </c>
      <c r="K17" s="1" t="str">
        <f>Sheet2!L17&amp;""</f>
        <v>13:30</v>
      </c>
      <c r="L17" s="1" t="str">
        <f>Sheet2!M17&amp;""</f>
        <v>下枠曲げ遅れにより中断</v>
      </c>
      <c r="M17" s="1" t="str">
        <f>Sheet2!N17&amp;""</f>
        <v/>
      </c>
      <c r="N17" s="1" t="str" cm="1">
        <f t="array" ref="N17">"{"&amp;_xlfn.TEXTJOIN(",",FALSE,""""&amp;ASC($A$1:$M$1)&amp;""""&amp;":"&amp;""""&amp;ASC(A17:M17)&amp;"""")&amp;"}"</f>
        <v>{"SchNo":"Q260824-0017","SchDate":"2026/08/24","Line":"前組4","SdNo":"S2602674","SdName":"特別養護老人ﾎｰﾑ","Floor":"3F","Symbol":"SD-31","ItemName":"親 枠 R","Qty":"1","StartTime":"12:00","EndTime":"13:30","Remark1":"下枠曲げ遅れにより中断","Remark2":""}</v>
      </c>
    </row>
    <row r="18" spans="1:14" x14ac:dyDescent="0.15">
      <c r="A18" s="1" t="str">
        <f t="shared" si="0"/>
        <v>Q260824-0018</v>
      </c>
      <c r="B18" s="1" t="str">
        <f>TEXT(Sheet2!A18,"yyyy/MM/dd")</f>
        <v>2026/08/24</v>
      </c>
      <c r="C18" s="1" t="str">
        <f>Sheet2!B18&amp;""</f>
        <v>前組4</v>
      </c>
      <c r="D18" s="1" t="str">
        <f>Sheet2!C18&amp;""</f>
        <v>S2602674</v>
      </c>
      <c r="E18" s="1" t="str">
        <f>Sheet2!D18&amp;""</f>
        <v>特別養護老人ホーム</v>
      </c>
      <c r="F18" s="1" t="str">
        <f>Sheet2!E18&amp;""</f>
        <v>3F</v>
      </c>
      <c r="G18" s="1" t="str">
        <f>Sheet2!F18&amp;""</f>
        <v>SD-31</v>
      </c>
      <c r="H18" s="1" t="str">
        <f>_xlfn.TEXTJOIN(" ",TRUE,Sheet2!G18,Sheet2!H18,Sheet2!I18)</f>
        <v>親 枠 R</v>
      </c>
      <c r="I18" s="1">
        <f>Sheet2!J18</f>
        <v>1</v>
      </c>
      <c r="J18" s="1" t="str">
        <f>Sheet2!K18&amp;""</f>
        <v>13:35</v>
      </c>
      <c r="K18" s="1" t="str">
        <f>Sheet2!L18&amp;""</f>
        <v>14:05</v>
      </c>
      <c r="L18" s="1" t="str">
        <f>Sheet2!M18&amp;""</f>
        <v>下枠曲げ遅れにより中断</v>
      </c>
      <c r="M18" s="1" t="str">
        <f>Sheet2!N18&amp;""</f>
        <v/>
      </c>
      <c r="N18" s="1" t="str" cm="1">
        <f t="array" ref="N18">"{"&amp;_xlfn.TEXTJOIN(",",FALSE,""""&amp;ASC($A$1:$M$1)&amp;""""&amp;":"&amp;""""&amp;ASC(A18:M18)&amp;"""")&amp;"}"</f>
        <v>{"SchNo":"Q260824-0018","SchDate":"2026/08/24","Line":"前組4","SdNo":"S2602674","SdName":"特別養護老人ﾎｰﾑ","Floor":"3F","Symbol":"SD-31","ItemName":"親 枠 R","Qty":"1","StartTime":"13:35","EndTime":"14:05","Remark1":"下枠曲げ遅れにより中断","Remark2":""}</v>
      </c>
    </row>
    <row r="19" spans="1:14" x14ac:dyDescent="0.15">
      <c r="A19" s="1" t="str">
        <f t="shared" si="0"/>
        <v>Q260824-0019</v>
      </c>
      <c r="B19" s="1" t="str">
        <f>TEXT(Sheet2!A19,"yyyy/MM/dd")</f>
        <v>2026/08/24</v>
      </c>
      <c r="C19" s="1" t="str">
        <f>Sheet2!B19&amp;""</f>
        <v>前組4</v>
      </c>
      <c r="D19" s="1" t="str">
        <f>Sheet2!C19&amp;""</f>
        <v>S2602674</v>
      </c>
      <c r="E19" s="1" t="str">
        <f>Sheet2!D19&amp;""</f>
        <v>特別養護老人ホーム</v>
      </c>
      <c r="F19" s="1" t="str">
        <f>Sheet2!E19&amp;""</f>
        <v>3F</v>
      </c>
      <c r="G19" s="1" t="str">
        <f>Sheet2!F19&amp;""</f>
        <v>SD-31</v>
      </c>
      <c r="H19" s="1" t="str">
        <f>_xlfn.TEXTJOIN(" ",TRUE,Sheet2!G19,Sheet2!H19,Sheet2!I19)</f>
        <v>親 枠 L</v>
      </c>
      <c r="I19" s="1">
        <f>Sheet2!J19</f>
        <v>1</v>
      </c>
      <c r="J19" s="1" t="str">
        <f>Sheet2!K19&amp;""</f>
        <v>14:10</v>
      </c>
      <c r="K19" s="1" t="str">
        <f>Sheet2!L19&amp;""</f>
        <v>14:40</v>
      </c>
      <c r="L19" s="1" t="str">
        <f>Sheet2!M19&amp;""</f>
        <v>下枠曲げ遅れにより中断</v>
      </c>
      <c r="M19" s="1" t="str">
        <f>Sheet2!N19&amp;""</f>
        <v/>
      </c>
      <c r="N19" s="1" t="str" cm="1">
        <f t="array" ref="N19">"{"&amp;_xlfn.TEXTJOIN(",",FALSE,""""&amp;ASC($A$1:$M$1)&amp;""""&amp;":"&amp;""""&amp;ASC(A19:M19)&amp;"""")&amp;"}"</f>
        <v>{"SchNo":"Q260824-0019","SchDate":"2026/08/24","Line":"前組4","SdNo":"S2602674","SdName":"特別養護老人ﾎｰﾑ","Floor":"3F","Symbol":"SD-31","ItemName":"親 枠 L","Qty":"1","StartTime":"14:10","EndTime":"14:40","Remark1":"下枠曲げ遅れにより中断","Remark2":""}</v>
      </c>
    </row>
    <row r="20" spans="1:14" x14ac:dyDescent="0.15">
      <c r="A20" s="1" t="str">
        <f t="shared" si="0"/>
        <v>Q260824-0020</v>
      </c>
      <c r="B20" s="1" t="str">
        <f>TEXT(Sheet2!A20,"yyyy/MM/dd")</f>
        <v>2026/08/24</v>
      </c>
      <c r="C20" s="1" t="str">
        <f>Sheet2!B20&amp;""</f>
        <v>前組4</v>
      </c>
      <c r="D20" s="1" t="str">
        <f>Sheet2!C20&amp;""</f>
        <v>S2602674</v>
      </c>
      <c r="E20" s="1" t="str">
        <f>Sheet2!D20&amp;""</f>
        <v>特別養護老人ホーム</v>
      </c>
      <c r="F20" s="1" t="str">
        <f>Sheet2!E20&amp;""</f>
        <v>4F</v>
      </c>
      <c r="G20" s="1" t="str">
        <f>Sheet2!F20&amp;""</f>
        <v>SD-31</v>
      </c>
      <c r="H20" s="1" t="str">
        <f>_xlfn.TEXTJOIN(" ",TRUE,Sheet2!G20,Sheet2!H20,Sheet2!I20)</f>
        <v>親 枠 R</v>
      </c>
      <c r="I20" s="1">
        <f>Sheet2!J20</f>
        <v>1</v>
      </c>
      <c r="J20" s="1" t="str">
        <f>Sheet2!K20&amp;""</f>
        <v>14:45</v>
      </c>
      <c r="K20" s="1" t="str">
        <f>Sheet2!L20&amp;""</f>
        <v>15:30</v>
      </c>
      <c r="L20" s="1" t="str">
        <f>Sheet2!M20&amp;""</f>
        <v>下枠曲げ遅れにより中断</v>
      </c>
      <c r="M20" s="1" t="str">
        <f>Sheet2!N20&amp;""</f>
        <v/>
      </c>
      <c r="N20" s="1" t="str" cm="1">
        <f t="array" ref="N20">"{"&amp;_xlfn.TEXTJOIN(",",FALSE,""""&amp;ASC($A$1:$M$1)&amp;""""&amp;":"&amp;""""&amp;ASC(A20:M20)&amp;"""")&amp;"}"</f>
        <v>{"SchNo":"Q260824-0020","SchDate":"2026/08/24","Line":"前組4","SdNo":"S2602674","SdName":"特別養護老人ﾎｰﾑ","Floor":"4F","Symbol":"SD-31","ItemName":"親 枠 R","Qty":"1","StartTime":"14:45","EndTime":"15:30","Remark1":"下枠曲げ遅れにより中断","Remark2":""}</v>
      </c>
    </row>
    <row r="21" spans="1:14" x14ac:dyDescent="0.15">
      <c r="A21" s="1" t="str">
        <f t="shared" si="0"/>
        <v>Q260824-0021</v>
      </c>
      <c r="B21" s="1" t="str">
        <f>TEXT(Sheet2!A21,"yyyy/MM/dd")</f>
        <v>2026/08/24</v>
      </c>
      <c r="C21" s="1" t="str">
        <f>Sheet2!B21&amp;""</f>
        <v>前組4</v>
      </c>
      <c r="D21" s="1" t="str">
        <f>Sheet2!C21&amp;""</f>
        <v>S2602674</v>
      </c>
      <c r="E21" s="1" t="str">
        <f>Sheet2!D21&amp;""</f>
        <v>特別養護老人ホーム</v>
      </c>
      <c r="F21" s="1" t="str">
        <f>Sheet2!E21&amp;""</f>
        <v>4F</v>
      </c>
      <c r="G21" s="1" t="str">
        <f>Sheet2!F21&amp;""</f>
        <v>SD-31</v>
      </c>
      <c r="H21" s="1" t="str">
        <f>_xlfn.TEXTJOIN(" ",TRUE,Sheet2!G21,Sheet2!H21,Sheet2!I21)</f>
        <v>親 枠 R</v>
      </c>
      <c r="I21" s="1">
        <f>Sheet2!J21</f>
        <v>1</v>
      </c>
      <c r="J21" s="1" t="str">
        <f>Sheet2!K21&amp;""</f>
        <v>15:35</v>
      </c>
      <c r="K21" s="1" t="str">
        <f>Sheet2!L21&amp;""</f>
        <v>16:05</v>
      </c>
      <c r="L21" s="1" t="str">
        <f>Sheet2!M21&amp;""</f>
        <v>下枠曲げ遅れにより中断</v>
      </c>
      <c r="M21" s="1" t="str">
        <f>Sheet2!N21&amp;""</f>
        <v/>
      </c>
      <c r="N21" s="1" t="str" cm="1">
        <f t="array" ref="N21">"{"&amp;_xlfn.TEXTJOIN(",",FALSE,""""&amp;ASC($A$1:$M$1)&amp;""""&amp;":"&amp;""""&amp;ASC(A21:M21)&amp;"""")&amp;"}"</f>
        <v>{"SchNo":"Q260824-0021","SchDate":"2026/08/24","Line":"前組4","SdNo":"S2602674","SdName":"特別養護老人ﾎｰﾑ","Floor":"4F","Symbol":"SD-31","ItemName":"親 枠 R","Qty":"1","StartTime":"15:35","EndTime":"16:05","Remark1":"下枠曲げ遅れにより中断","Remark2":""}</v>
      </c>
    </row>
    <row r="22" spans="1:14" x14ac:dyDescent="0.15">
      <c r="A22" s="1" t="str">
        <f t="shared" si="0"/>
        <v>Q260824-0022</v>
      </c>
      <c r="B22" s="1" t="str">
        <f>TEXT(Sheet2!A22,"yyyy/MM/dd")</f>
        <v>2026/08/24</v>
      </c>
      <c r="C22" s="1" t="str">
        <f>Sheet2!B22&amp;""</f>
        <v>前組4</v>
      </c>
      <c r="D22" s="1" t="str">
        <f>Sheet2!C22&amp;""</f>
        <v>S2602674</v>
      </c>
      <c r="E22" s="1" t="str">
        <f>Sheet2!D22&amp;""</f>
        <v>特別養護老人ホーム</v>
      </c>
      <c r="F22" s="1" t="str">
        <f>Sheet2!E22&amp;""</f>
        <v>4F</v>
      </c>
      <c r="G22" s="1" t="str">
        <f>Sheet2!F22&amp;""</f>
        <v>SD-31</v>
      </c>
      <c r="H22" s="1" t="str">
        <f>_xlfn.TEXTJOIN(" ",TRUE,Sheet2!G22,Sheet2!H22,Sheet2!I22)</f>
        <v>親 枠 R</v>
      </c>
      <c r="I22" s="1">
        <f>Sheet2!J22</f>
        <v>1</v>
      </c>
      <c r="J22" s="1" t="str">
        <f>Sheet2!K22&amp;""</f>
        <v>16:10</v>
      </c>
      <c r="K22" s="1" t="str">
        <f>Sheet2!L22&amp;""</f>
        <v>16:40</v>
      </c>
      <c r="L22" s="1" t="str">
        <f>Sheet2!M22&amp;""</f>
        <v>下枠曲げ遅れにより中断</v>
      </c>
      <c r="M22" s="1" t="str">
        <f>Sheet2!N22&amp;""</f>
        <v/>
      </c>
      <c r="N22" s="1" t="str" cm="1">
        <f t="array" ref="N22">"{"&amp;_xlfn.TEXTJOIN(",",FALSE,""""&amp;ASC($A$1:$M$1)&amp;""""&amp;":"&amp;""""&amp;ASC(A22:M22)&amp;"""")&amp;"}"</f>
        <v>{"SchNo":"Q260824-0022","SchDate":"2026/08/24","Line":"前組4","SdNo":"S2602674","SdName":"特別養護老人ﾎｰﾑ","Floor":"4F","Symbol":"SD-31","ItemName":"親 枠 R","Qty":"1","StartTime":"16:10","EndTime":"16:40","Remark1":"下枠曲げ遅れにより中断","Remark2":""}</v>
      </c>
    </row>
    <row r="23" spans="1:14" x14ac:dyDescent="0.15">
      <c r="A23" s="1" t="str">
        <f t="shared" si="0"/>
        <v>Q260824-0023</v>
      </c>
      <c r="B23" s="1" t="str">
        <f>TEXT(Sheet2!A23,"yyyy/MM/dd")</f>
        <v>2026/08/24</v>
      </c>
      <c r="C23" s="1" t="str">
        <f>Sheet2!B23&amp;""</f>
        <v>前組4</v>
      </c>
      <c r="D23" s="1" t="str">
        <f>Sheet2!C23&amp;""</f>
        <v>S2602674</v>
      </c>
      <c r="E23" s="1" t="str">
        <f>Sheet2!D23&amp;""</f>
        <v>特別養護老人ホーム</v>
      </c>
      <c r="F23" s="1" t="str">
        <f>Sheet2!E23&amp;""</f>
        <v>4F</v>
      </c>
      <c r="G23" s="1" t="str">
        <f>Sheet2!F23&amp;""</f>
        <v>SD-31</v>
      </c>
      <c r="H23" s="1" t="str">
        <f>_xlfn.TEXTJOIN(" ",TRUE,Sheet2!G23,Sheet2!H23,Sheet2!I23)</f>
        <v>親 枠 L</v>
      </c>
      <c r="I23" s="1">
        <f>Sheet2!J23</f>
        <v>1</v>
      </c>
      <c r="J23" s="1" t="str">
        <f>Sheet2!K23&amp;""</f>
        <v>16:45</v>
      </c>
      <c r="K23" s="1" t="str">
        <f>Sheet2!L23&amp;""</f>
        <v>17:15</v>
      </c>
      <c r="L23" s="1" t="str">
        <f>Sheet2!M23&amp;""</f>
        <v>下枠曲げ遅れにより中断</v>
      </c>
      <c r="M23" s="1" t="str">
        <f>Sheet2!N23&amp;""</f>
        <v/>
      </c>
      <c r="N23" s="1" t="str" cm="1">
        <f t="array" ref="N23">"{"&amp;_xlfn.TEXTJOIN(",",FALSE,""""&amp;ASC($A$1:$M$1)&amp;""""&amp;":"&amp;""""&amp;ASC(A23:M23)&amp;"""")&amp;"}"</f>
        <v>{"SchNo":"Q260824-0023","SchDate":"2026/08/24","Line":"前組4","SdNo":"S2602674","SdName":"特別養護老人ﾎｰﾑ","Floor":"4F","Symbol":"SD-31","ItemName":"親 枠 L","Qty":"1","StartTime":"16:45","EndTime":"17:15","Remark1":"下枠曲げ遅れにより中断","Remark2":""}</v>
      </c>
    </row>
    <row r="24" spans="1:14" x14ac:dyDescent="0.15">
      <c r="A24" s="1" t="str">
        <f t="shared" si="0"/>
        <v>Q260824-0024</v>
      </c>
      <c r="B24" s="1" t="str">
        <f>TEXT(Sheet2!A24,"yyyy/MM/dd")</f>
        <v>2026/08/24</v>
      </c>
      <c r="C24" s="1" t="str">
        <f>Sheet2!B24&amp;""</f>
        <v>前組4</v>
      </c>
      <c r="D24" s="1" t="str">
        <f>Sheet2!C24&amp;""</f>
        <v>S2602674</v>
      </c>
      <c r="E24" s="1" t="str">
        <f>Sheet2!D24&amp;""</f>
        <v>特別養護老人ホーム</v>
      </c>
      <c r="F24" s="1" t="str">
        <f>Sheet2!E24&amp;""</f>
        <v>2F</v>
      </c>
      <c r="G24" s="1" t="str">
        <f>Sheet2!F24&amp;""</f>
        <v>SD-31</v>
      </c>
      <c r="H24" s="1" t="str">
        <f>_xlfn.TEXTJOIN(" ",TRUE,Sheet2!G24,Sheet2!H24,Sheet2!I24)</f>
        <v>親 枠 R</v>
      </c>
      <c r="I24" s="1">
        <f>Sheet2!J24</f>
        <v>0</v>
      </c>
      <c r="J24" s="1" t="str">
        <f>Sheet2!K24&amp;""</f>
        <v>17:15</v>
      </c>
      <c r="K24" s="1" t="str">
        <f>Sheet2!L24&amp;""</f>
        <v>17:15</v>
      </c>
      <c r="L24" s="1" t="str">
        <f>Sheet2!M24&amp;""</f>
        <v>作業時間合計55分</v>
      </c>
      <c r="M24" s="1" t="str">
        <f>Sheet2!N24&amp;""</f>
        <v>15100</v>
      </c>
      <c r="N24" s="1" t="str" cm="1">
        <f t="array" ref="N24">"{"&amp;_xlfn.TEXTJOIN(",",FALSE,""""&amp;ASC($A$1:$M$1)&amp;""""&amp;":"&amp;""""&amp;ASC(A24:M24)&amp;"""")&amp;"}"</f>
        <v>{"SchNo":"Q260824-0024","SchDate":"2026/08/24","Line":"前組4","SdNo":"S2602674","SdName":"特別養護老人ﾎｰﾑ","Floor":"2F","Symbol":"SD-31","ItemName":"親 枠 R","Qty":"0","StartTime":"17:15","EndTime":"17:15","Remark1":"作業時間合計55分","Remark2":"15100"}</v>
      </c>
    </row>
    <row r="25" spans="1:14" x14ac:dyDescent="0.15">
      <c r="A25" s="1" t="str">
        <f t="shared" si="0"/>
        <v>Q260824-0025</v>
      </c>
      <c r="B25" s="1" t="str">
        <f>TEXT(Sheet2!A25,"yyyy/MM/dd")</f>
        <v>2026/08/24</v>
      </c>
      <c r="C25" s="1" t="str">
        <f>Sheet2!B25&amp;""</f>
        <v>前組4</v>
      </c>
      <c r="D25" s="1" t="str">
        <f>Sheet2!C25&amp;""</f>
        <v>S2602674</v>
      </c>
      <c r="E25" s="1" t="str">
        <f>Sheet2!D25&amp;""</f>
        <v>特別養護老人ホーム</v>
      </c>
      <c r="F25" s="1" t="str">
        <f>Sheet2!E25&amp;""</f>
        <v>2F</v>
      </c>
      <c r="G25" s="1" t="str">
        <f>Sheet2!F25&amp;""</f>
        <v>SD-31</v>
      </c>
      <c r="H25" s="1" t="str">
        <f>_xlfn.TEXTJOIN(" ",TRUE,Sheet2!G25,Sheet2!H25,Sheet2!I25)</f>
        <v>親 枠 R</v>
      </c>
      <c r="I25" s="1">
        <f>Sheet2!J25</f>
        <v>0</v>
      </c>
      <c r="J25" s="1" t="str">
        <f>Sheet2!K25&amp;""</f>
        <v>17:15</v>
      </c>
      <c r="K25" s="1" t="str">
        <f>Sheet2!L25&amp;""</f>
        <v>17:15</v>
      </c>
      <c r="L25" s="1" t="str">
        <f>Sheet2!M25&amp;""</f>
        <v>作業時間合計20分</v>
      </c>
      <c r="M25" s="1" t="str">
        <f>Sheet2!N25&amp;""</f>
        <v>15100</v>
      </c>
      <c r="N25" s="1" t="str" cm="1">
        <f t="array" ref="N25">"{"&amp;_xlfn.TEXTJOIN(",",FALSE,""""&amp;ASC($A$1:$M$1)&amp;""""&amp;":"&amp;""""&amp;ASC(A25:M25)&amp;"""")&amp;"}"</f>
        <v>{"SchNo":"Q260824-0025","SchDate":"2026/08/24","Line":"前組4","SdNo":"S2602674","SdName":"特別養護老人ﾎｰﾑ","Floor":"2F","Symbol":"SD-31","ItemName":"親 枠 R","Qty":"0","StartTime":"17:15","EndTime":"17:15","Remark1":"作業時間合計20分","Remark2":"15100"}</v>
      </c>
    </row>
    <row r="26" spans="1:14" x14ac:dyDescent="0.15">
      <c r="A26" s="1" t="str">
        <f t="shared" si="0"/>
        <v>Q260824-0026</v>
      </c>
      <c r="B26" s="1" t="str">
        <f>TEXT(Sheet2!A26,"yyyy/MM/dd")</f>
        <v>2026/08/24</v>
      </c>
      <c r="C26" s="1" t="str">
        <f>Sheet2!B26&amp;""</f>
        <v>前組4</v>
      </c>
      <c r="D26" s="1" t="str">
        <f>Sheet2!C26&amp;""</f>
        <v>S2602674</v>
      </c>
      <c r="E26" s="1" t="str">
        <f>Sheet2!D26&amp;""</f>
        <v>特別養護老人ホーム</v>
      </c>
      <c r="F26" s="1" t="str">
        <f>Sheet2!E26&amp;""</f>
        <v>2F</v>
      </c>
      <c r="G26" s="1" t="str">
        <f>Sheet2!F26&amp;""</f>
        <v>SD-31</v>
      </c>
      <c r="H26" s="1" t="str">
        <f>_xlfn.TEXTJOIN(" ",TRUE,Sheet2!G26,Sheet2!H26,Sheet2!I26)</f>
        <v>親 枠 R</v>
      </c>
      <c r="I26" s="1">
        <f>Sheet2!J26</f>
        <v>0</v>
      </c>
      <c r="J26" s="1" t="str">
        <f>Sheet2!K26&amp;""</f>
        <v>17:15</v>
      </c>
      <c r="K26" s="1" t="str">
        <f>Sheet2!L26&amp;""</f>
        <v>17:15</v>
      </c>
      <c r="L26" s="1" t="str">
        <f>Sheet2!M26&amp;""</f>
        <v>作業時間合計30分</v>
      </c>
      <c r="M26" s="1" t="str">
        <f>Sheet2!N26&amp;""</f>
        <v>15100</v>
      </c>
      <c r="N26" s="1" t="str" cm="1">
        <f t="array" ref="N26">"{"&amp;_xlfn.TEXTJOIN(",",FALSE,""""&amp;ASC($A$1:$M$1)&amp;""""&amp;":"&amp;""""&amp;ASC(A26:M26)&amp;"""")&amp;"}"</f>
        <v>{"SchNo":"Q260824-0026","SchDate":"2026/08/24","Line":"前組4","SdNo":"S2602674","SdName":"特別養護老人ﾎｰﾑ","Floor":"2F","Symbol":"SD-31","ItemName":"親 枠 R","Qty":"0","StartTime":"17:15","EndTime":"17:15","Remark1":"作業時間合計30分","Remark2":"15100"}</v>
      </c>
    </row>
    <row r="27" spans="1:14" x14ac:dyDescent="0.15">
      <c r="A27" s="1" t="str">
        <f t="shared" si="0"/>
        <v>Q260824-0027</v>
      </c>
      <c r="B27" s="1" t="str">
        <f>TEXT(Sheet2!A27,"yyyy/MM/dd")</f>
        <v>2026/08/24</v>
      </c>
      <c r="C27" s="1" t="str">
        <f>Sheet2!B27&amp;""</f>
        <v>前組4</v>
      </c>
      <c r="D27" s="1" t="str">
        <f>Sheet2!C27&amp;""</f>
        <v>S2602674</v>
      </c>
      <c r="E27" s="1" t="str">
        <f>Sheet2!D27&amp;""</f>
        <v>特別養護老人ホーム</v>
      </c>
      <c r="F27" s="1" t="str">
        <f>Sheet2!E27&amp;""</f>
        <v>2F</v>
      </c>
      <c r="G27" s="1" t="str">
        <f>Sheet2!F27&amp;""</f>
        <v>SD-31</v>
      </c>
      <c r="H27" s="1" t="str">
        <f>_xlfn.TEXTJOIN(" ",TRUE,Sheet2!G27,Sheet2!H27,Sheet2!I27)</f>
        <v>親 枠 L</v>
      </c>
      <c r="I27" s="1">
        <f>Sheet2!J27</f>
        <v>0</v>
      </c>
      <c r="J27" s="1" t="str">
        <f>Sheet2!K27&amp;""</f>
        <v>17:15</v>
      </c>
      <c r="K27" s="1" t="str">
        <f>Sheet2!L27&amp;""</f>
        <v>17:15</v>
      </c>
      <c r="L27" s="1" t="str">
        <f>Sheet2!M27&amp;""</f>
        <v>作業時間合計25分</v>
      </c>
      <c r="M27" s="1" t="str">
        <f>Sheet2!N27&amp;""</f>
        <v>15100</v>
      </c>
      <c r="N27" s="1" t="str" cm="1">
        <f t="array" ref="N27">"{"&amp;_xlfn.TEXTJOIN(",",FALSE,""""&amp;ASC($A$1:$M$1)&amp;""""&amp;":"&amp;""""&amp;ASC(A27:M27)&amp;"""")&amp;"}"</f>
        <v>{"SchNo":"Q260824-0027","SchDate":"2026/08/24","Line":"前組4","SdNo":"S2602674","SdName":"特別養護老人ﾎｰﾑ","Floor":"2F","Symbol":"SD-31","ItemName":"親 枠 L","Qty":"0","StartTime":"17:15","EndTime":"17:15","Remark1":"作業時間合計25分","Remark2":"15100"}</v>
      </c>
    </row>
    <row r="28" spans="1:14" x14ac:dyDescent="0.15">
      <c r="A28" s="1" t="str">
        <f t="shared" si="0"/>
        <v>Q260824-0028</v>
      </c>
      <c r="B28" s="1" t="str">
        <f>TEXT(Sheet2!A28,"yyyy/MM/dd")</f>
        <v>2026/08/24</v>
      </c>
      <c r="C28" s="1" t="str">
        <f>Sheet2!B28&amp;""</f>
        <v>前組4</v>
      </c>
      <c r="D28" s="1" t="str">
        <f>Sheet2!C28&amp;""</f>
        <v>S2602674</v>
      </c>
      <c r="E28" s="1" t="str">
        <f>Sheet2!D28&amp;""</f>
        <v>特別養護老人ホーム</v>
      </c>
      <c r="F28" s="1" t="str">
        <f>Sheet2!E28&amp;""</f>
        <v>3F</v>
      </c>
      <c r="G28" s="1" t="str">
        <f>Sheet2!F28&amp;""</f>
        <v>SD-31</v>
      </c>
      <c r="H28" s="1" t="str">
        <f>_xlfn.TEXTJOIN(" ",TRUE,Sheet2!G28,Sheet2!H28,Sheet2!I28)</f>
        <v>親 枠 R</v>
      </c>
      <c r="I28" s="1">
        <f>Sheet2!J28</f>
        <v>0</v>
      </c>
      <c r="J28" s="1" t="str">
        <f>Sheet2!K28&amp;""</f>
        <v>17:15</v>
      </c>
      <c r="K28" s="1" t="str">
        <f>Sheet2!L28&amp;""</f>
        <v>17:15</v>
      </c>
      <c r="L28" s="1" t="str">
        <f>Sheet2!M28&amp;""</f>
        <v>作業時間合計20分</v>
      </c>
      <c r="M28" s="1" t="str">
        <f>Sheet2!N28&amp;""</f>
        <v>15100</v>
      </c>
      <c r="N28" s="1" t="str" cm="1">
        <f t="array" ref="N28">"{"&amp;_xlfn.TEXTJOIN(",",FALSE,""""&amp;ASC($A$1:$M$1)&amp;""""&amp;":"&amp;""""&amp;ASC(A28:M28)&amp;"""")&amp;"}"</f>
        <v>{"SchNo":"Q260824-0028","SchDate":"2026/08/24","Line":"前組4","SdNo":"S2602674","SdName":"特別養護老人ﾎｰﾑ","Floor":"3F","Symbol":"SD-31","ItemName":"親 枠 R","Qty":"0","StartTime":"17:15","EndTime":"17:15","Remark1":"作業時間合計20分","Remark2":"15100"}</v>
      </c>
    </row>
    <row r="29" spans="1:14" x14ac:dyDescent="0.15">
      <c r="A29" s="1" t="str">
        <f t="shared" si="0"/>
        <v>Q260824-0029</v>
      </c>
      <c r="B29" s="1" t="str">
        <f>TEXT(Sheet2!A29,"yyyy/MM/dd")</f>
        <v>2026/08/24</v>
      </c>
      <c r="C29" s="1" t="str">
        <f>Sheet2!B29&amp;""</f>
        <v>前組4</v>
      </c>
      <c r="D29" s="1" t="str">
        <f>Sheet2!C29&amp;""</f>
        <v>S2602674</v>
      </c>
      <c r="E29" s="1" t="str">
        <f>Sheet2!D29&amp;""</f>
        <v>特別養護老人ホーム</v>
      </c>
      <c r="F29" s="1" t="str">
        <f>Sheet2!E29&amp;""</f>
        <v>3F</v>
      </c>
      <c r="G29" s="1" t="str">
        <f>Sheet2!F29&amp;""</f>
        <v>SD-31</v>
      </c>
      <c r="H29" s="1" t="str">
        <f>_xlfn.TEXTJOIN(" ",TRUE,Sheet2!G29,Sheet2!H29,Sheet2!I29)</f>
        <v>親 枠 R</v>
      </c>
      <c r="I29" s="1">
        <f>Sheet2!J29</f>
        <v>0</v>
      </c>
      <c r="J29" s="1" t="str">
        <f>Sheet2!K29&amp;""</f>
        <v>17:15</v>
      </c>
      <c r="K29" s="1" t="str">
        <f>Sheet2!L29&amp;""</f>
        <v>17:15</v>
      </c>
      <c r="L29" s="1" t="str">
        <f>Sheet2!M29&amp;""</f>
        <v>作業時間合計25分</v>
      </c>
      <c r="M29" s="1" t="str">
        <f>Sheet2!N29&amp;""</f>
        <v>15100</v>
      </c>
      <c r="N29" s="1" t="str" cm="1">
        <f t="array" ref="N29">"{"&amp;_xlfn.TEXTJOIN(",",FALSE,""""&amp;ASC($A$1:$M$1)&amp;""""&amp;":"&amp;""""&amp;ASC(A29:M29)&amp;"""")&amp;"}"</f>
        <v>{"SchNo":"Q260824-0029","SchDate":"2026/08/24","Line":"前組4","SdNo":"S2602674","SdName":"特別養護老人ﾎｰﾑ","Floor":"3F","Symbol":"SD-31","ItemName":"親 枠 R","Qty":"0","StartTime":"17:15","EndTime":"17:15","Remark1":"作業時間合計25分","Remark2":"15100"}</v>
      </c>
    </row>
    <row r="30" spans="1:14" x14ac:dyDescent="0.15">
      <c r="A30" s="1" t="str">
        <f t="shared" si="0"/>
        <v>Q260824-0030</v>
      </c>
      <c r="B30" s="1" t="str">
        <f>TEXT(Sheet2!A30,"yyyy/MM/dd")</f>
        <v>2026/08/24</v>
      </c>
      <c r="C30" s="1" t="str">
        <f>Sheet2!B30&amp;""</f>
        <v>前組4</v>
      </c>
      <c r="D30" s="1" t="str">
        <f>Sheet2!C30&amp;""</f>
        <v>S2602674</v>
      </c>
      <c r="E30" s="1" t="str">
        <f>Sheet2!D30&amp;""</f>
        <v>特別養護老人ホーム</v>
      </c>
      <c r="F30" s="1" t="str">
        <f>Sheet2!E30&amp;""</f>
        <v>3F</v>
      </c>
      <c r="G30" s="1" t="str">
        <f>Sheet2!F30&amp;""</f>
        <v>SD-31</v>
      </c>
      <c r="H30" s="1" t="str">
        <f>_xlfn.TEXTJOIN(" ",TRUE,Sheet2!G30,Sheet2!H30,Sheet2!I30)</f>
        <v>親 枠 R</v>
      </c>
      <c r="I30" s="1">
        <f>Sheet2!J30</f>
        <v>0</v>
      </c>
      <c r="J30" s="1" t="str">
        <f>Sheet2!K30&amp;""</f>
        <v>17:15</v>
      </c>
      <c r="K30" s="1" t="str">
        <f>Sheet2!L30&amp;""</f>
        <v>17:15</v>
      </c>
      <c r="L30" s="1" t="str">
        <f>Sheet2!M30&amp;""</f>
        <v>作業時間合計20分</v>
      </c>
      <c r="M30" s="1" t="str">
        <f>Sheet2!N30&amp;""</f>
        <v>15100</v>
      </c>
      <c r="N30" s="1" t="str" cm="1">
        <f t="array" ref="N30">"{"&amp;_xlfn.TEXTJOIN(",",FALSE,""""&amp;ASC($A$1:$M$1)&amp;""""&amp;":"&amp;""""&amp;ASC(A30:M30)&amp;"""")&amp;"}"</f>
        <v>{"SchNo":"Q260824-0030","SchDate":"2026/08/24","Line":"前組4","SdNo":"S2602674","SdName":"特別養護老人ﾎｰﾑ","Floor":"3F","Symbol":"SD-31","ItemName":"親 枠 R","Qty":"0","StartTime":"17:15","EndTime":"17:15","Remark1":"作業時間合計20分","Remark2":"15100"}</v>
      </c>
    </row>
    <row r="31" spans="1:14" x14ac:dyDescent="0.15">
      <c r="A31" s="1" t="str">
        <f t="shared" si="0"/>
        <v>Q260824-0031</v>
      </c>
      <c r="B31" s="1" t="str">
        <f>TEXT(Sheet2!A31,"yyyy/MM/dd")</f>
        <v>2026/08/24</v>
      </c>
      <c r="C31" s="1" t="str">
        <f>Sheet2!B31&amp;""</f>
        <v>前組4</v>
      </c>
      <c r="D31" s="1" t="str">
        <f>Sheet2!C31&amp;""</f>
        <v>S2602674</v>
      </c>
      <c r="E31" s="1" t="str">
        <f>Sheet2!D31&amp;""</f>
        <v>特別養護老人ホーム</v>
      </c>
      <c r="F31" s="1" t="str">
        <f>Sheet2!E31&amp;""</f>
        <v>3F</v>
      </c>
      <c r="G31" s="1" t="str">
        <f>Sheet2!F31&amp;""</f>
        <v>SD-31</v>
      </c>
      <c r="H31" s="1" t="str">
        <f>_xlfn.TEXTJOIN(" ",TRUE,Sheet2!G31,Sheet2!H31,Sheet2!I31)</f>
        <v>親 枠 L</v>
      </c>
      <c r="I31" s="1">
        <f>Sheet2!J31</f>
        <v>0</v>
      </c>
      <c r="J31" s="1" t="str">
        <f>Sheet2!K31&amp;""</f>
        <v>17:15</v>
      </c>
      <c r="K31" s="1" t="str">
        <f>Sheet2!L31&amp;""</f>
        <v>17:15</v>
      </c>
      <c r="L31" s="1" t="str">
        <f>Sheet2!M31&amp;""</f>
        <v>作業時間合計25分</v>
      </c>
      <c r="M31" s="1" t="str">
        <f>Sheet2!N31&amp;""</f>
        <v>15100</v>
      </c>
      <c r="N31" s="1" t="str" cm="1">
        <f t="array" ref="N31">"{"&amp;_xlfn.TEXTJOIN(",",FALSE,""""&amp;ASC($A$1:$M$1)&amp;""""&amp;":"&amp;""""&amp;ASC(A31:M31)&amp;"""")&amp;"}"</f>
        <v>{"SchNo":"Q260824-0031","SchDate":"2026/08/24","Line":"前組4","SdNo":"S2602674","SdName":"特別養護老人ﾎｰﾑ","Floor":"3F","Symbol":"SD-31","ItemName":"親 枠 L","Qty":"0","StartTime":"17:15","EndTime":"17:15","Remark1":"作業時間合計25分","Remark2":"15100"}</v>
      </c>
    </row>
    <row r="32" spans="1:14" x14ac:dyDescent="0.15">
      <c r="A32" s="1" t="str">
        <f t="shared" si="0"/>
        <v>Q260824-0032</v>
      </c>
      <c r="B32" s="1" t="str">
        <f>TEXT(Sheet2!A32,"yyyy/MM/dd")</f>
        <v>2026/08/24</v>
      </c>
      <c r="C32" s="1" t="str">
        <f>Sheet2!B32&amp;""</f>
        <v>前組4</v>
      </c>
      <c r="D32" s="1" t="str">
        <f>Sheet2!C32&amp;""</f>
        <v>S2602674</v>
      </c>
      <c r="E32" s="1" t="str">
        <f>Sheet2!D32&amp;""</f>
        <v>特別養護老人ホーム</v>
      </c>
      <c r="F32" s="1" t="str">
        <f>Sheet2!E32&amp;""</f>
        <v>4F</v>
      </c>
      <c r="G32" s="1" t="str">
        <f>Sheet2!F32&amp;""</f>
        <v>SD-31</v>
      </c>
      <c r="H32" s="1" t="str">
        <f>_xlfn.TEXTJOIN(" ",TRUE,Sheet2!G32,Sheet2!H32,Sheet2!I32)</f>
        <v>親 枠 R</v>
      </c>
      <c r="I32" s="1">
        <f>Sheet2!J32</f>
        <v>0</v>
      </c>
      <c r="J32" s="1" t="str">
        <f>Sheet2!K32&amp;""</f>
        <v>17:15</v>
      </c>
      <c r="K32" s="1" t="str">
        <f>Sheet2!L32&amp;""</f>
        <v>17:15</v>
      </c>
      <c r="L32" s="1" t="str">
        <f>Sheet2!M32&amp;""</f>
        <v>作業時間合計30分</v>
      </c>
      <c r="M32" s="1" t="str">
        <f>Sheet2!N32&amp;""</f>
        <v>15100</v>
      </c>
      <c r="N32" s="1" t="str" cm="1">
        <f t="array" ref="N32">"{"&amp;_xlfn.TEXTJOIN(",",FALSE,""""&amp;ASC($A$1:$M$1)&amp;""""&amp;":"&amp;""""&amp;ASC(A32:M32)&amp;"""")&amp;"}"</f>
        <v>{"SchNo":"Q260824-0032","SchDate":"2026/08/24","Line":"前組4","SdNo":"S2602674","SdName":"特別養護老人ﾎｰﾑ","Floor":"4F","Symbol":"SD-31","ItemName":"親 枠 R","Qty":"0","StartTime":"17:15","EndTime":"17:15","Remark1":"作業時間合計30分","Remark2":"15100"}</v>
      </c>
    </row>
    <row r="33" spans="1:14" x14ac:dyDescent="0.15">
      <c r="A33" s="1" t="str">
        <f t="shared" si="0"/>
        <v>Q260824-0033</v>
      </c>
      <c r="B33" s="1" t="str">
        <f>TEXT(Sheet2!A33,"yyyy/MM/dd")</f>
        <v>2026/08/24</v>
      </c>
      <c r="C33" s="1" t="str">
        <f>Sheet2!B33&amp;""</f>
        <v>前組4</v>
      </c>
      <c r="D33" s="1" t="str">
        <f>Sheet2!C33&amp;""</f>
        <v>S2602674</v>
      </c>
      <c r="E33" s="1" t="str">
        <f>Sheet2!D33&amp;""</f>
        <v>特別養護老人ホーム</v>
      </c>
      <c r="F33" s="1" t="str">
        <f>Sheet2!E33&amp;""</f>
        <v>4F</v>
      </c>
      <c r="G33" s="1" t="str">
        <f>Sheet2!F33&amp;""</f>
        <v>SD-31</v>
      </c>
      <c r="H33" s="1" t="str">
        <f>_xlfn.TEXTJOIN(" ",TRUE,Sheet2!G33,Sheet2!H33,Sheet2!I33)</f>
        <v>親 枠 R</v>
      </c>
      <c r="I33" s="1">
        <f>Sheet2!J33</f>
        <v>0</v>
      </c>
      <c r="J33" s="1" t="str">
        <f>Sheet2!K33&amp;""</f>
        <v>17:15</v>
      </c>
      <c r="K33" s="1" t="str">
        <f>Sheet2!L33&amp;""</f>
        <v>17:15</v>
      </c>
      <c r="L33" s="1" t="str">
        <f>Sheet2!M33&amp;""</f>
        <v>作業時間合計20分</v>
      </c>
      <c r="M33" s="1" t="str">
        <f>Sheet2!N33&amp;""</f>
        <v>15100</v>
      </c>
      <c r="N33" s="1" t="str" cm="1">
        <f t="array" ref="N33">"{"&amp;_xlfn.TEXTJOIN(",",FALSE,""""&amp;ASC($A$1:$M$1)&amp;""""&amp;":"&amp;""""&amp;ASC(A33:M33)&amp;"""")&amp;"}"</f>
        <v>{"SchNo":"Q260824-0033","SchDate":"2026/08/24","Line":"前組4","SdNo":"S2602674","SdName":"特別養護老人ﾎｰﾑ","Floor":"4F","Symbol":"SD-31","ItemName":"親 枠 R","Qty":"0","StartTime":"17:15","EndTime":"17:15","Remark1":"作業時間合計20分","Remark2":"15100"}</v>
      </c>
    </row>
    <row r="34" spans="1:14" x14ac:dyDescent="0.15">
      <c r="A34" s="1" t="str">
        <f t="shared" si="0"/>
        <v>Q260824-0034</v>
      </c>
      <c r="B34" s="1" t="str">
        <f>TEXT(Sheet2!A34,"yyyy/MM/dd")</f>
        <v>2026/08/24</v>
      </c>
      <c r="C34" s="1" t="str">
        <f>Sheet2!B34&amp;""</f>
        <v>前組4</v>
      </c>
      <c r="D34" s="1" t="str">
        <f>Sheet2!C34&amp;""</f>
        <v>S2602674</v>
      </c>
      <c r="E34" s="1" t="str">
        <f>Sheet2!D34&amp;""</f>
        <v>特別養護老人ホーム</v>
      </c>
      <c r="F34" s="1" t="str">
        <f>Sheet2!E34&amp;""</f>
        <v>4F</v>
      </c>
      <c r="G34" s="1" t="str">
        <f>Sheet2!F34&amp;""</f>
        <v>SD-31</v>
      </c>
      <c r="H34" s="1" t="str">
        <f>_xlfn.TEXTJOIN(" ",TRUE,Sheet2!G34,Sheet2!H34,Sheet2!I34)</f>
        <v>親 枠 R</v>
      </c>
      <c r="I34" s="1">
        <f>Sheet2!J34</f>
        <v>0</v>
      </c>
      <c r="J34" s="1" t="str">
        <f>Sheet2!K34&amp;""</f>
        <v>17:15</v>
      </c>
      <c r="K34" s="1" t="str">
        <f>Sheet2!L34&amp;""</f>
        <v>17:15</v>
      </c>
      <c r="L34" s="1" t="str">
        <f>Sheet2!M34&amp;""</f>
        <v>作業時間合計15分</v>
      </c>
      <c r="M34" s="1" t="str">
        <f>Sheet2!N34&amp;""</f>
        <v>15100</v>
      </c>
      <c r="N34" s="1" t="str" cm="1">
        <f t="array" ref="N34">"{"&amp;_xlfn.TEXTJOIN(",",FALSE,""""&amp;ASC($A$1:$M$1)&amp;""""&amp;":"&amp;""""&amp;ASC(A34:M34)&amp;"""")&amp;"}"</f>
        <v>{"SchNo":"Q260824-0034","SchDate":"2026/08/24","Line":"前組4","SdNo":"S2602674","SdName":"特別養護老人ﾎｰﾑ","Floor":"4F","Symbol":"SD-31","ItemName":"親 枠 R","Qty":"0","StartTime":"17:15","EndTime":"17:15","Remark1":"作業時間合計15分","Remark2":"15100"}</v>
      </c>
    </row>
    <row r="35" spans="1:14" x14ac:dyDescent="0.15">
      <c r="A35" s="1" t="str">
        <f t="shared" si="0"/>
        <v>Q260824-0035</v>
      </c>
      <c r="B35" s="1" t="str">
        <f>TEXT(Sheet2!A35,"yyyy/MM/dd")</f>
        <v>2026/08/24</v>
      </c>
      <c r="C35" s="1" t="str">
        <f>Sheet2!B35&amp;""</f>
        <v>前組4</v>
      </c>
      <c r="D35" s="1" t="str">
        <f>Sheet2!C35&amp;""</f>
        <v>S2602674</v>
      </c>
      <c r="E35" s="1" t="str">
        <f>Sheet2!D35&amp;""</f>
        <v>特別養護老人ホーム</v>
      </c>
      <c r="F35" s="1" t="str">
        <f>Sheet2!E35&amp;""</f>
        <v>4F</v>
      </c>
      <c r="G35" s="1" t="str">
        <f>Sheet2!F35&amp;""</f>
        <v>SD-31</v>
      </c>
      <c r="H35" s="1" t="str">
        <f>_xlfn.TEXTJOIN(" ",TRUE,Sheet2!G35,Sheet2!H35,Sheet2!I35)</f>
        <v>親 枠 L</v>
      </c>
      <c r="I35" s="1">
        <f>Sheet2!J35</f>
        <v>0</v>
      </c>
      <c r="J35" s="1" t="str">
        <f>Sheet2!K35&amp;""</f>
        <v>17:15</v>
      </c>
      <c r="K35" s="1" t="str">
        <f>Sheet2!L35&amp;""</f>
        <v>17:15</v>
      </c>
      <c r="L35" s="1" t="str">
        <f>Sheet2!M35&amp;""</f>
        <v>作業時間合計20分</v>
      </c>
      <c r="M35" s="1" t="str">
        <f>Sheet2!N35&amp;""</f>
        <v>15100</v>
      </c>
      <c r="N35" s="1" t="str" cm="1">
        <f t="array" ref="N35">"{"&amp;_xlfn.TEXTJOIN(",",FALSE,""""&amp;ASC($A$1:$M$1)&amp;""""&amp;":"&amp;""""&amp;ASC(A35:M35)&amp;"""")&amp;"}"</f>
        <v>{"SchNo":"Q260824-0035","SchDate":"2026/08/24","Line":"前組4","SdNo":"S2602674","SdName":"特別養護老人ﾎｰﾑ","Floor":"4F","Symbol":"SD-31","ItemName":"親 枠 L","Qty":"0","StartTime":"17:15","EndTime":"17:15","Remark1":"作業時間合計20分","Remark2":"15100"}</v>
      </c>
    </row>
    <row r="36" spans="1:14" x14ac:dyDescent="0.15">
      <c r="A36" s="1" t="str">
        <f t="shared" si="0"/>
        <v>Q260824-0036</v>
      </c>
      <c r="B36" s="1" t="str">
        <f>TEXT(Sheet2!A36,"yyyy/MM/dd")</f>
        <v>2026/08/24</v>
      </c>
      <c r="C36" s="1" t="str">
        <f>Sheet2!B36&amp;""</f>
        <v>前組4</v>
      </c>
      <c r="D36" s="1" t="str">
        <f>Sheet2!C36&amp;""</f>
        <v>S2602592</v>
      </c>
      <c r="E36" s="1" t="str">
        <f>Sheet2!D36&amp;""</f>
        <v>TOK1__E__210-E520＿I</v>
      </c>
      <c r="F36" s="1" t="str">
        <f>Sheet2!E36&amp;""</f>
        <v>1F</v>
      </c>
      <c r="G36" s="1" t="str">
        <f>Sheet2!F36&amp;""</f>
        <v>E01SP-1A</v>
      </c>
      <c r="H36" s="1" t="str">
        <f>_xlfn.TEXTJOIN(" ",TRUE,Sheet2!G36,Sheet2!H36,Sheet2!I36)</f>
        <v>親 枠 R</v>
      </c>
      <c r="I36" s="1">
        <f>Sheet2!J36</f>
        <v>1</v>
      </c>
      <c r="J36" s="1" t="str">
        <f>Sheet2!K36&amp;""</f>
        <v>17:35</v>
      </c>
      <c r="K36" s="1" t="str">
        <f>Sheet2!L36&amp;""</f>
        <v>18:15</v>
      </c>
      <c r="L36" s="1" t="str">
        <f>Sheet2!M36&amp;""</f>
        <v/>
      </c>
      <c r="M36" s="1" t="str">
        <f>Sheet2!N36&amp;""</f>
        <v>33000</v>
      </c>
      <c r="N36" s="1" t="str" cm="1">
        <f t="array" ref="N36">"{"&amp;_xlfn.TEXTJOIN(",",FALSE,""""&amp;ASC($A$1:$M$1)&amp;""""&amp;":"&amp;""""&amp;ASC(A36:M36)&amp;"""")&amp;"}"</f>
        <v>{"SchNo":"Q260824-0036","SchDate":"2026/08/24","Line":"前組4","SdNo":"S2602592","SdName":"TOK1__E__210-E520_I","Floor":"1F","Symbol":"E01SP-1A","ItemName":"親 枠 R","Qty":"1","StartTime":"17:35","EndTime":"18:15","Remark1":"","Remark2":"33000"}</v>
      </c>
    </row>
    <row r="37" spans="1:14" x14ac:dyDescent="0.15">
      <c r="A37" s="1" t="str">
        <f t="shared" si="0"/>
        <v>Q260824-0037</v>
      </c>
      <c r="B37" s="1" t="str">
        <f>TEXT(Sheet2!A37,"yyyy/MM/dd")</f>
        <v>2026/08/24</v>
      </c>
      <c r="C37" s="1" t="str">
        <f>Sheet2!B37&amp;""</f>
        <v>前組4</v>
      </c>
      <c r="D37" s="1" t="str">
        <f>Sheet2!C37&amp;""</f>
        <v>S2602592</v>
      </c>
      <c r="E37" s="1" t="str">
        <f>Sheet2!D37&amp;""</f>
        <v>TOK1__E__210-E520＿I</v>
      </c>
      <c r="F37" s="1" t="str">
        <f>Sheet2!E37&amp;""</f>
        <v>1F</v>
      </c>
      <c r="G37" s="1" t="str">
        <f>Sheet2!F37&amp;""</f>
        <v>E01SP-1A</v>
      </c>
      <c r="H37" s="1" t="str">
        <f>_xlfn.TEXTJOIN(" ",TRUE,Sheet2!G37,Sheet2!H37,Sheet2!I37)</f>
        <v>親 枠 R</v>
      </c>
      <c r="I37" s="1">
        <f>Sheet2!J37</f>
        <v>1</v>
      </c>
      <c r="J37" s="1" t="str">
        <f>Sheet2!K37&amp;""</f>
        <v>18:25</v>
      </c>
      <c r="K37" s="1" t="str">
        <f>Sheet2!L37&amp;""</f>
        <v>19:05</v>
      </c>
      <c r="L37" s="1" t="str">
        <f>Sheet2!M37&amp;""</f>
        <v/>
      </c>
      <c r="M37" s="1" t="str">
        <f>Sheet2!N37&amp;""</f>
        <v>33000</v>
      </c>
      <c r="N37" s="1" t="str" cm="1">
        <f t="array" ref="N37">"{"&amp;_xlfn.TEXTJOIN(",",FALSE,""""&amp;ASC($A$1:$M$1)&amp;""""&amp;":"&amp;""""&amp;ASC(A37:M37)&amp;"""")&amp;"}"</f>
        <v>{"SchNo":"Q260824-0037","SchDate":"2026/08/24","Line":"前組4","SdNo":"S2602592","SdName":"TOK1__E__210-E520_I","Floor":"1F","Symbol":"E01SP-1A","ItemName":"親 枠 R","Qty":"1","StartTime":"18:25","EndTime":"19:05","Remark1":"","Remark2":"33000"}</v>
      </c>
    </row>
    <row r="38" spans="1:14" x14ac:dyDescent="0.15">
      <c r="A38" s="1" t="str">
        <f t="shared" si="0"/>
        <v>Q260824-0038</v>
      </c>
      <c r="B38" s="1" t="str">
        <f>TEXT(Sheet2!A38,"yyyy/MM/dd")</f>
        <v>2026/08/24</v>
      </c>
      <c r="C38" s="1" t="str">
        <f>Sheet2!B38&amp;""</f>
        <v>前組4</v>
      </c>
      <c r="D38" s="1" t="str">
        <f>Sheet2!C38&amp;""</f>
        <v>S2602674</v>
      </c>
      <c r="E38" s="1" t="str">
        <f>Sheet2!D38&amp;""</f>
        <v>特別養護老人ホーム</v>
      </c>
      <c r="F38" s="1" t="str">
        <f>Sheet2!E38&amp;""</f>
        <v>2F</v>
      </c>
      <c r="G38" s="1" t="str">
        <f>Sheet2!F38&amp;""</f>
        <v>SD-31-4</v>
      </c>
      <c r="H38" s="1" t="str">
        <f>_xlfn.TEXTJOIN(" ",TRUE,Sheet2!G38,Sheet2!H38,Sheet2!I38)</f>
        <v>親 枠 L</v>
      </c>
      <c r="I38" s="1">
        <f>Sheet2!J38</f>
        <v>0</v>
      </c>
      <c r="J38" s="1" t="str">
        <f>Sheet2!K38&amp;""</f>
        <v>19:05</v>
      </c>
      <c r="K38" s="1" t="str">
        <f>Sheet2!L38&amp;""</f>
        <v>19:05</v>
      </c>
      <c r="L38" s="1" t="str">
        <f>Sheet2!M38&amp;""</f>
        <v>小林分 小林と共同製作</v>
      </c>
      <c r="M38" s="1" t="str">
        <f>Sheet2!N38&amp;""</f>
        <v/>
      </c>
      <c r="N38" s="1" t="str" cm="1">
        <f t="array" ref="N38">"{"&amp;_xlfn.TEXTJOIN(",",FALSE,""""&amp;ASC($A$1:$M$1)&amp;""""&amp;":"&amp;""""&amp;ASC(A38:M38)&amp;"""")&amp;"}"</f>
        <v>{"SchNo":"Q260824-0038","SchDate":"2026/08/24","Line":"前組4","SdNo":"S2602674","SdName":"特別養護老人ﾎｰﾑ","Floor":"2F","Symbol":"SD-31-4","ItemName":"親 枠 L","Qty":"0","StartTime":"19:05","EndTime":"19:05","Remark1":"小林分 小林と共同製作","Remark2":""}</v>
      </c>
    </row>
    <row r="39" spans="1:14" x14ac:dyDescent="0.15">
      <c r="A39" s="1" t="str">
        <f t="shared" si="0"/>
        <v>Q260824-0039</v>
      </c>
      <c r="B39" s="1" t="str">
        <f>TEXT(Sheet2!A39,"yyyy/MM/dd")</f>
        <v>2026/08/24</v>
      </c>
      <c r="C39" s="1" t="str">
        <f>Sheet2!B39&amp;""</f>
        <v>前組4</v>
      </c>
      <c r="D39" s="1" t="str">
        <f>Sheet2!C39&amp;""</f>
        <v>S2602674</v>
      </c>
      <c r="E39" s="1" t="str">
        <f>Sheet2!D39&amp;""</f>
        <v>特別養護老人ホーム</v>
      </c>
      <c r="F39" s="1" t="str">
        <f>Sheet2!E39&amp;""</f>
        <v>3F</v>
      </c>
      <c r="G39" s="1" t="str">
        <f>Sheet2!F39&amp;""</f>
        <v>SD-31-4</v>
      </c>
      <c r="H39" s="1" t="str">
        <f>_xlfn.TEXTJOIN(" ",TRUE,Sheet2!G39,Sheet2!H39,Sheet2!I39)</f>
        <v>親 枠 L</v>
      </c>
      <c r="I39" s="1">
        <f>Sheet2!J39</f>
        <v>0</v>
      </c>
      <c r="J39" s="1" t="str">
        <f>Sheet2!K39&amp;""</f>
        <v>19:05</v>
      </c>
      <c r="K39" s="1" t="str">
        <f>Sheet2!L39&amp;""</f>
        <v>19:05</v>
      </c>
      <c r="L39" s="1" t="str">
        <f>Sheet2!M39&amp;""</f>
        <v>小林分 小林と共同製作</v>
      </c>
      <c r="M39" s="1" t="str">
        <f>Sheet2!N39&amp;""</f>
        <v/>
      </c>
      <c r="N39" s="1" t="str" cm="1">
        <f t="array" ref="N39">"{"&amp;_xlfn.TEXTJOIN(",",FALSE,""""&amp;ASC($A$1:$M$1)&amp;""""&amp;":"&amp;""""&amp;ASC(A39:M39)&amp;"""")&amp;"}"</f>
        <v>{"SchNo":"Q260824-0039","SchDate":"2026/08/24","Line":"前組4","SdNo":"S2602674","SdName":"特別養護老人ﾎｰﾑ","Floor":"3F","Symbol":"SD-31-4","ItemName":"親 枠 L","Qty":"0","StartTime":"19:05","EndTime":"19:05","Remark1":"小林分 小林と共同製作","Remark2":""}</v>
      </c>
    </row>
    <row r="40" spans="1:14" x14ac:dyDescent="0.15">
      <c r="A40" s="1" t="str">
        <f t="shared" si="0"/>
        <v>Q260824-0040</v>
      </c>
      <c r="B40" s="1" t="str">
        <f>TEXT(Sheet2!A40,"yyyy/MM/dd")</f>
        <v>2026/08/24</v>
      </c>
      <c r="C40" s="1" t="str">
        <f>Sheet2!B40&amp;""</f>
        <v>前組4</v>
      </c>
      <c r="D40" s="1" t="str">
        <f>Sheet2!C40&amp;""</f>
        <v>S2602674</v>
      </c>
      <c r="E40" s="1" t="str">
        <f>Sheet2!D40&amp;""</f>
        <v>特別養護老人ホーム</v>
      </c>
      <c r="F40" s="1" t="str">
        <f>Sheet2!E40&amp;""</f>
        <v>4F</v>
      </c>
      <c r="G40" s="1" t="str">
        <f>Sheet2!F40&amp;""</f>
        <v>SD-31-4</v>
      </c>
      <c r="H40" s="1" t="str">
        <f>_xlfn.TEXTJOIN(" ",TRUE,Sheet2!G40,Sheet2!H40,Sheet2!I40)</f>
        <v>親 枠 L</v>
      </c>
      <c r="I40" s="1">
        <f>Sheet2!J40</f>
        <v>0</v>
      </c>
      <c r="J40" s="1" t="str">
        <f>Sheet2!K40&amp;""</f>
        <v>19:05</v>
      </c>
      <c r="K40" s="1" t="str">
        <f>Sheet2!L40&amp;""</f>
        <v>19:05</v>
      </c>
      <c r="L40" s="1" t="str">
        <f>Sheet2!M40&amp;""</f>
        <v>小林分</v>
      </c>
      <c r="M40" s="1" t="str">
        <f>Sheet2!N40&amp;""</f>
        <v/>
      </c>
      <c r="N40" s="1" t="str" cm="1">
        <f t="array" ref="N40">"{"&amp;_xlfn.TEXTJOIN(",",FALSE,""""&amp;ASC($A$1:$M$1)&amp;""""&amp;":"&amp;""""&amp;ASC(A40:M40)&amp;"""")&amp;"}"</f>
        <v>{"SchNo":"Q260824-0040","SchDate":"2026/08/24","Line":"前組4","SdNo":"S2602674","SdName":"特別養護老人ﾎｰﾑ","Floor":"4F","Symbol":"SD-31-4","ItemName":"親 枠 L","Qty":"0","StartTime":"19:05","EndTime":"19:05","Remark1":"小林分","Remark2":""}</v>
      </c>
    </row>
    <row r="41" spans="1:14" x14ac:dyDescent="0.15">
      <c r="A41" s="1" t="str">
        <f t="shared" si="0"/>
        <v>Q260824-0041</v>
      </c>
      <c r="B41" s="1" t="str">
        <f>TEXT(Sheet2!A41,"yyyy/MM/dd")</f>
        <v>2026/08/24</v>
      </c>
      <c r="C41" s="1" t="str">
        <f>Sheet2!B41&amp;""</f>
        <v>前組6</v>
      </c>
      <c r="D41" s="1" t="str">
        <f>Sheet2!C41&amp;""</f>
        <v>S2602674</v>
      </c>
      <c r="E41" s="1" t="str">
        <f>Sheet2!D41&amp;""</f>
        <v>特別養護老人ホーム</v>
      </c>
      <c r="F41" s="1" t="str">
        <f>Sheet2!E41&amp;""</f>
        <v>2F</v>
      </c>
      <c r="G41" s="1" t="str">
        <f>Sheet2!F41&amp;""</f>
        <v>SD-31-2</v>
      </c>
      <c r="H41" s="1" t="str">
        <f>_xlfn.TEXTJOIN(" ",TRUE,Sheet2!G41,Sheet2!H41,Sheet2!I41)</f>
        <v>親 枠 R</v>
      </c>
      <c r="I41" s="1">
        <f>Sheet2!J41</f>
        <v>1</v>
      </c>
      <c r="J41" s="1" t="str">
        <f>Sheet2!K41&amp;""</f>
        <v>8:40</v>
      </c>
      <c r="K41" s="1" t="str">
        <f>Sheet2!L41&amp;""</f>
        <v>9:30</v>
      </c>
      <c r="L41" s="1" t="str">
        <f>Sheet2!M41&amp;""</f>
        <v>下枠曲げ遅れにより中断</v>
      </c>
      <c r="M41" s="1" t="str">
        <f>Sheet2!N41&amp;""</f>
        <v/>
      </c>
      <c r="N41" s="1" t="str" cm="1">
        <f t="array" ref="N41">"{"&amp;_xlfn.TEXTJOIN(",",FALSE,""""&amp;ASC($A$1:$M$1)&amp;""""&amp;":"&amp;""""&amp;ASC(A41:M41)&amp;"""")&amp;"}"</f>
        <v>{"SchNo":"Q260824-0041","SchDate":"2026/08/24","Line":"前組6","SdNo":"S2602674","SdName":"特別養護老人ﾎｰﾑ","Floor":"2F","Symbol":"SD-31-2","ItemName":"親 枠 R","Qty":"1","StartTime":"8:40","EndTime":"9:30","Remark1":"下枠曲げ遅れにより中断","Remark2":""}</v>
      </c>
    </row>
    <row r="42" spans="1:14" x14ac:dyDescent="0.15">
      <c r="A42" s="1" t="str">
        <f t="shared" si="0"/>
        <v>Q260824-0042</v>
      </c>
      <c r="B42" s="1" t="str">
        <f>TEXT(Sheet2!A42,"yyyy/MM/dd")</f>
        <v>2026/08/24</v>
      </c>
      <c r="C42" s="1" t="str">
        <f>Sheet2!B42&amp;""</f>
        <v>前組6</v>
      </c>
      <c r="D42" s="1" t="str">
        <f>Sheet2!C42&amp;""</f>
        <v>S2602674</v>
      </c>
      <c r="E42" s="1" t="str">
        <f>Sheet2!D42&amp;""</f>
        <v>特別養護老人ホーム</v>
      </c>
      <c r="F42" s="1" t="str">
        <f>Sheet2!E42&amp;""</f>
        <v>2F</v>
      </c>
      <c r="G42" s="1" t="str">
        <f>Sheet2!F42&amp;""</f>
        <v>SD-31-2</v>
      </c>
      <c r="H42" s="1" t="str">
        <f>_xlfn.TEXTJOIN(" ",TRUE,Sheet2!G42,Sheet2!H42,Sheet2!I42)</f>
        <v>親 枠 R</v>
      </c>
      <c r="I42" s="1">
        <f>Sheet2!J42</f>
        <v>1</v>
      </c>
      <c r="J42" s="1" t="str">
        <f>Sheet2!K42&amp;""</f>
        <v>9:35</v>
      </c>
      <c r="K42" s="1" t="str">
        <f>Sheet2!L42&amp;""</f>
        <v>10:05</v>
      </c>
      <c r="L42" s="1" t="str">
        <f>Sheet2!M42&amp;""</f>
        <v>下枠曲げ遅れにより中断</v>
      </c>
      <c r="M42" s="1" t="str">
        <f>Sheet2!N42&amp;""</f>
        <v/>
      </c>
      <c r="N42" s="1" t="str" cm="1">
        <f t="array" ref="N42">"{"&amp;_xlfn.TEXTJOIN(",",FALSE,""""&amp;ASC($A$1:$M$1)&amp;""""&amp;":"&amp;""""&amp;ASC(A42:M42)&amp;"""")&amp;"}"</f>
        <v>{"SchNo":"Q260824-0042","SchDate":"2026/08/24","Line":"前組6","SdNo":"S2602674","SdName":"特別養護老人ﾎｰﾑ","Floor":"2F","Symbol":"SD-31-2","ItemName":"親 枠 R","Qty":"1","StartTime":"9:35","EndTime":"10:05","Remark1":"下枠曲げ遅れにより中断","Remark2":""}</v>
      </c>
    </row>
    <row r="43" spans="1:14" x14ac:dyDescent="0.15">
      <c r="A43" s="1" t="str">
        <f t="shared" si="0"/>
        <v>Q260824-0043</v>
      </c>
      <c r="B43" s="1" t="str">
        <f>TEXT(Sheet2!A43,"yyyy/MM/dd")</f>
        <v>2026/08/24</v>
      </c>
      <c r="C43" s="1" t="str">
        <f>Sheet2!B43&amp;""</f>
        <v>前組6</v>
      </c>
      <c r="D43" s="1" t="str">
        <f>Sheet2!C43&amp;""</f>
        <v>S2602674</v>
      </c>
      <c r="E43" s="1" t="str">
        <f>Sheet2!D43&amp;""</f>
        <v>特別養護老人ホーム</v>
      </c>
      <c r="F43" s="1" t="str">
        <f>Sheet2!E43&amp;""</f>
        <v>2F</v>
      </c>
      <c r="G43" s="1" t="str">
        <f>Sheet2!F43&amp;""</f>
        <v>SD-31-2</v>
      </c>
      <c r="H43" s="1" t="str">
        <f>_xlfn.TEXTJOIN(" ",TRUE,Sheet2!G43,Sheet2!H43,Sheet2!I43)</f>
        <v>親 枠 L</v>
      </c>
      <c r="I43" s="1">
        <f>Sheet2!J43</f>
        <v>1</v>
      </c>
      <c r="J43" s="1" t="str">
        <f>Sheet2!K43&amp;""</f>
        <v>10:10</v>
      </c>
      <c r="K43" s="1" t="str">
        <f>Sheet2!L43&amp;""</f>
        <v>10:45</v>
      </c>
      <c r="L43" s="1" t="str">
        <f>Sheet2!M43&amp;""</f>
        <v>下枠曲げ遅れにより中断</v>
      </c>
      <c r="M43" s="1" t="str">
        <f>Sheet2!N43&amp;""</f>
        <v/>
      </c>
      <c r="N43" s="1" t="str" cm="1">
        <f t="array" ref="N43">"{"&amp;_xlfn.TEXTJOIN(",",FALSE,""""&amp;ASC($A$1:$M$1)&amp;""""&amp;":"&amp;""""&amp;ASC(A43:M43)&amp;"""")&amp;"}"</f>
        <v>{"SchNo":"Q260824-0043","SchDate":"2026/08/24","Line":"前組6","SdNo":"S2602674","SdName":"特別養護老人ﾎｰﾑ","Floor":"2F","Symbol":"SD-31-2","ItemName":"親 枠 L","Qty":"1","StartTime":"10:10","EndTime":"10:45","Remark1":"下枠曲げ遅れにより中断","Remark2":""}</v>
      </c>
    </row>
    <row r="44" spans="1:14" x14ac:dyDescent="0.15">
      <c r="A44" s="1" t="str">
        <f t="shared" si="0"/>
        <v>Q260824-0044</v>
      </c>
      <c r="B44" s="1" t="str">
        <f>TEXT(Sheet2!A44,"yyyy/MM/dd")</f>
        <v>2026/08/24</v>
      </c>
      <c r="C44" s="1" t="str">
        <f>Sheet2!B44&amp;""</f>
        <v>前組6</v>
      </c>
      <c r="D44" s="1" t="str">
        <f>Sheet2!C44&amp;""</f>
        <v>S2602674</v>
      </c>
      <c r="E44" s="1" t="str">
        <f>Sheet2!D44&amp;""</f>
        <v>特別養護老人ホーム</v>
      </c>
      <c r="F44" s="1" t="str">
        <f>Sheet2!E44&amp;""</f>
        <v>2F</v>
      </c>
      <c r="G44" s="1" t="str">
        <f>Sheet2!F44&amp;""</f>
        <v>SD-31-2</v>
      </c>
      <c r="H44" s="1" t="str">
        <f>_xlfn.TEXTJOIN(" ",TRUE,Sheet2!G44,Sheet2!H44,Sheet2!I44)</f>
        <v>親 枠 L</v>
      </c>
      <c r="I44" s="1">
        <f>Sheet2!J44</f>
        <v>1</v>
      </c>
      <c r="J44" s="1" t="str">
        <f>Sheet2!K44&amp;""</f>
        <v>10:50</v>
      </c>
      <c r="K44" s="1" t="str">
        <f>Sheet2!L44&amp;""</f>
        <v>11:20</v>
      </c>
      <c r="L44" s="1" t="str">
        <f>Sheet2!M44&amp;""</f>
        <v>下枠曲げ遅れにより中断</v>
      </c>
      <c r="M44" s="1" t="str">
        <f>Sheet2!N44&amp;""</f>
        <v/>
      </c>
      <c r="N44" s="1" t="str" cm="1">
        <f t="array" ref="N44">"{"&amp;_xlfn.TEXTJOIN(",",FALSE,""""&amp;ASC($A$1:$M$1)&amp;""""&amp;":"&amp;""""&amp;ASC(A44:M44)&amp;"""")&amp;"}"</f>
        <v>{"SchNo":"Q260824-0044","SchDate":"2026/08/24","Line":"前組6","SdNo":"S2602674","SdName":"特別養護老人ﾎｰﾑ","Floor":"2F","Symbol":"SD-31-2","ItemName":"親 枠 L","Qty":"1","StartTime":"10:50","EndTime":"11:20","Remark1":"下枠曲げ遅れにより中断","Remark2":""}</v>
      </c>
    </row>
    <row r="45" spans="1:14" x14ac:dyDescent="0.15">
      <c r="A45" s="1" t="str">
        <f t="shared" si="0"/>
        <v>Q260824-0045</v>
      </c>
      <c r="B45" s="1" t="str">
        <f>TEXT(Sheet2!A45,"yyyy/MM/dd")</f>
        <v>2026/08/24</v>
      </c>
      <c r="C45" s="1" t="str">
        <f>Sheet2!B45&amp;""</f>
        <v>前組6</v>
      </c>
      <c r="D45" s="1" t="str">
        <f>Sheet2!C45&amp;""</f>
        <v>S2602674</v>
      </c>
      <c r="E45" s="1" t="str">
        <f>Sheet2!D45&amp;""</f>
        <v>特別養護老人ホーム</v>
      </c>
      <c r="F45" s="1" t="str">
        <f>Sheet2!E45&amp;""</f>
        <v>3F</v>
      </c>
      <c r="G45" s="1" t="str">
        <f>Sheet2!F45&amp;""</f>
        <v>SD-31-2</v>
      </c>
      <c r="H45" s="1" t="str">
        <f>_xlfn.TEXTJOIN(" ",TRUE,Sheet2!G45,Sheet2!H45,Sheet2!I45)</f>
        <v>親 枠 R</v>
      </c>
      <c r="I45" s="1">
        <f>Sheet2!J45</f>
        <v>1</v>
      </c>
      <c r="J45" s="1" t="str">
        <f>Sheet2!K45&amp;""</f>
        <v>11:25</v>
      </c>
      <c r="K45" s="1" t="str">
        <f>Sheet2!L45&amp;""</f>
        <v>11:55</v>
      </c>
      <c r="L45" s="1" t="str">
        <f>Sheet2!M45&amp;""</f>
        <v>下枠曲げ遅れにより中断</v>
      </c>
      <c r="M45" s="1" t="str">
        <f>Sheet2!N45&amp;""</f>
        <v/>
      </c>
      <c r="N45" s="1" t="str" cm="1">
        <f t="array" ref="N45">"{"&amp;_xlfn.TEXTJOIN(",",FALSE,""""&amp;ASC($A$1:$M$1)&amp;""""&amp;":"&amp;""""&amp;ASC(A45:M45)&amp;"""")&amp;"}"</f>
        <v>{"SchNo":"Q260824-0045","SchDate":"2026/08/24","Line":"前組6","SdNo":"S2602674","SdName":"特別養護老人ﾎｰﾑ","Floor":"3F","Symbol":"SD-31-2","ItemName":"親 枠 R","Qty":"1","StartTime":"11:25","EndTime":"11:55","Remark1":"下枠曲げ遅れにより中断","Remark2":""}</v>
      </c>
    </row>
    <row r="46" spans="1:14" x14ac:dyDescent="0.15">
      <c r="A46" s="1" t="str">
        <f t="shared" si="0"/>
        <v>Q260824-0046</v>
      </c>
      <c r="B46" s="1" t="str">
        <f>TEXT(Sheet2!A46,"yyyy/MM/dd")</f>
        <v>2026/08/24</v>
      </c>
      <c r="C46" s="1" t="str">
        <f>Sheet2!B46&amp;""</f>
        <v>前組6</v>
      </c>
      <c r="D46" s="1" t="str">
        <f>Sheet2!C46&amp;""</f>
        <v>S2602674</v>
      </c>
      <c r="E46" s="1" t="str">
        <f>Sheet2!D46&amp;""</f>
        <v>特別養護老人ホーム</v>
      </c>
      <c r="F46" s="1" t="str">
        <f>Sheet2!E46&amp;""</f>
        <v>3F</v>
      </c>
      <c r="G46" s="1" t="str">
        <f>Sheet2!F46&amp;""</f>
        <v>SD-31-2</v>
      </c>
      <c r="H46" s="1" t="str">
        <f>_xlfn.TEXTJOIN(" ",TRUE,Sheet2!G46,Sheet2!H46,Sheet2!I46)</f>
        <v>親 枠 R</v>
      </c>
      <c r="I46" s="1">
        <f>Sheet2!J46</f>
        <v>1</v>
      </c>
      <c r="J46" s="1" t="str">
        <f>Sheet2!K46&amp;""</f>
        <v>12:00</v>
      </c>
      <c r="K46" s="1" t="str">
        <f>Sheet2!L46&amp;""</f>
        <v>13:30</v>
      </c>
      <c r="L46" s="1" t="str">
        <f>Sheet2!M46&amp;""</f>
        <v>下枠曲げ遅れにより中断</v>
      </c>
      <c r="M46" s="1" t="str">
        <f>Sheet2!N46&amp;""</f>
        <v/>
      </c>
      <c r="N46" s="1" t="str" cm="1">
        <f t="array" ref="N46">"{"&amp;_xlfn.TEXTJOIN(",",FALSE,""""&amp;ASC($A$1:$M$1)&amp;""""&amp;":"&amp;""""&amp;ASC(A46:M46)&amp;"""")&amp;"}"</f>
        <v>{"SchNo":"Q260824-0046","SchDate":"2026/08/24","Line":"前組6","SdNo":"S2602674","SdName":"特別養護老人ﾎｰﾑ","Floor":"3F","Symbol":"SD-31-2","ItemName":"親 枠 R","Qty":"1","StartTime":"12:00","EndTime":"13:30","Remark1":"下枠曲げ遅れにより中断","Remark2":""}</v>
      </c>
    </row>
    <row r="47" spans="1:14" x14ac:dyDescent="0.15">
      <c r="A47" s="1" t="str">
        <f t="shared" si="0"/>
        <v>Q260824-0047</v>
      </c>
      <c r="B47" s="1" t="str">
        <f>TEXT(Sheet2!A47,"yyyy/MM/dd")</f>
        <v>2026/08/24</v>
      </c>
      <c r="C47" s="1" t="str">
        <f>Sheet2!B47&amp;""</f>
        <v>前組6</v>
      </c>
      <c r="D47" s="1" t="str">
        <f>Sheet2!C47&amp;""</f>
        <v>S2602674</v>
      </c>
      <c r="E47" s="1" t="str">
        <f>Sheet2!D47&amp;""</f>
        <v>特別養護老人ホーム</v>
      </c>
      <c r="F47" s="1" t="str">
        <f>Sheet2!E47&amp;""</f>
        <v>3F</v>
      </c>
      <c r="G47" s="1" t="str">
        <f>Sheet2!F47&amp;""</f>
        <v>SD-31-2</v>
      </c>
      <c r="H47" s="1" t="str">
        <f>_xlfn.TEXTJOIN(" ",TRUE,Sheet2!G47,Sheet2!H47,Sheet2!I47)</f>
        <v>親 枠 L</v>
      </c>
      <c r="I47" s="1">
        <f>Sheet2!J47</f>
        <v>1</v>
      </c>
      <c r="J47" s="1" t="str">
        <f>Sheet2!K47&amp;""</f>
        <v>13:35</v>
      </c>
      <c r="K47" s="1" t="str">
        <f>Sheet2!L47&amp;""</f>
        <v>14:05</v>
      </c>
      <c r="L47" s="1" t="str">
        <f>Sheet2!M47&amp;""</f>
        <v>下枠曲げ遅れにより中断</v>
      </c>
      <c r="M47" s="1" t="str">
        <f>Sheet2!N47&amp;""</f>
        <v/>
      </c>
      <c r="N47" s="1" t="str" cm="1">
        <f t="array" ref="N47">"{"&amp;_xlfn.TEXTJOIN(",",FALSE,""""&amp;ASC($A$1:$M$1)&amp;""""&amp;":"&amp;""""&amp;ASC(A47:M47)&amp;"""")&amp;"}"</f>
        <v>{"SchNo":"Q260824-0047","SchDate":"2026/08/24","Line":"前組6","SdNo":"S2602674","SdName":"特別養護老人ﾎｰﾑ","Floor":"3F","Symbol":"SD-31-2","ItemName":"親 枠 L","Qty":"1","StartTime":"13:35","EndTime":"14:05","Remark1":"下枠曲げ遅れにより中断","Remark2":""}</v>
      </c>
    </row>
    <row r="48" spans="1:14" x14ac:dyDescent="0.15">
      <c r="A48" s="1" t="str">
        <f t="shared" si="0"/>
        <v>Q260824-0048</v>
      </c>
      <c r="B48" s="1" t="str">
        <f>TEXT(Sheet2!A48,"yyyy/MM/dd")</f>
        <v>2026/08/24</v>
      </c>
      <c r="C48" s="1" t="str">
        <f>Sheet2!B48&amp;""</f>
        <v>前組6</v>
      </c>
      <c r="D48" s="1" t="str">
        <f>Sheet2!C48&amp;""</f>
        <v>S2602674</v>
      </c>
      <c r="E48" s="1" t="str">
        <f>Sheet2!D48&amp;""</f>
        <v>特別養護老人ホーム</v>
      </c>
      <c r="F48" s="1" t="str">
        <f>Sheet2!E48&amp;""</f>
        <v>2F</v>
      </c>
      <c r="G48" s="1" t="str">
        <f>Sheet2!F48&amp;""</f>
        <v>SD-31-2</v>
      </c>
      <c r="H48" s="1" t="str">
        <f>_xlfn.TEXTJOIN(" ",TRUE,Sheet2!G48,Sheet2!H48,Sheet2!I48)</f>
        <v>親 枠 R</v>
      </c>
      <c r="I48" s="1">
        <f>Sheet2!J48</f>
        <v>0</v>
      </c>
      <c r="J48" s="1" t="str">
        <f>Sheet2!K48&amp;""</f>
        <v>14:05</v>
      </c>
      <c r="K48" s="1" t="str">
        <f>Sheet2!L48&amp;""</f>
        <v>14:05</v>
      </c>
      <c r="L48" s="1" t="str">
        <f>Sheet2!M48&amp;""</f>
        <v>作業時間合計105分</v>
      </c>
      <c r="M48" s="1" t="str">
        <f>Sheet2!N48&amp;""</f>
        <v>17900</v>
      </c>
      <c r="N48" s="1" t="str" cm="1">
        <f t="array" ref="N48">"{"&amp;_xlfn.TEXTJOIN(",",FALSE,""""&amp;ASC($A$1:$M$1)&amp;""""&amp;":"&amp;""""&amp;ASC(A48:M48)&amp;"""")&amp;"}"</f>
        <v>{"SchNo":"Q260824-0048","SchDate":"2026/08/24","Line":"前組6","SdNo":"S2602674","SdName":"特別養護老人ﾎｰﾑ","Floor":"2F","Symbol":"SD-31-2","ItemName":"親 枠 R","Qty":"0","StartTime":"14:05","EndTime":"14:05","Remark1":"作業時間合計105分","Remark2":"17900"}</v>
      </c>
    </row>
    <row r="49" spans="1:14" x14ac:dyDescent="0.15">
      <c r="A49" s="1" t="str">
        <f t="shared" si="0"/>
        <v>Q260824-0049</v>
      </c>
      <c r="B49" s="1" t="str">
        <f>TEXT(Sheet2!A49,"yyyy/MM/dd")</f>
        <v>2026/08/24</v>
      </c>
      <c r="C49" s="1" t="str">
        <f>Sheet2!B49&amp;""</f>
        <v>前組6</v>
      </c>
      <c r="D49" s="1" t="str">
        <f>Sheet2!C49&amp;""</f>
        <v>S2602674</v>
      </c>
      <c r="E49" s="1" t="str">
        <f>Sheet2!D49&amp;""</f>
        <v>特別養護老人ホーム</v>
      </c>
      <c r="F49" s="1" t="str">
        <f>Sheet2!E49&amp;""</f>
        <v>2F</v>
      </c>
      <c r="G49" s="1" t="str">
        <f>Sheet2!F49&amp;""</f>
        <v>SD-31-2</v>
      </c>
      <c r="H49" s="1" t="str">
        <f>_xlfn.TEXTJOIN(" ",TRUE,Sheet2!G49,Sheet2!H49,Sheet2!I49)</f>
        <v>親 枠 R</v>
      </c>
      <c r="I49" s="1">
        <f>Sheet2!J49</f>
        <v>0</v>
      </c>
      <c r="J49" s="1" t="str">
        <f>Sheet2!K49&amp;""</f>
        <v>14:05</v>
      </c>
      <c r="K49" s="1" t="str">
        <f>Sheet2!L49&amp;""</f>
        <v>14:05</v>
      </c>
      <c r="L49" s="1" t="str">
        <f>Sheet2!M49&amp;""</f>
        <v>作業時間合計30分</v>
      </c>
      <c r="M49" s="1" t="str">
        <f>Sheet2!N49&amp;""</f>
        <v>17900</v>
      </c>
      <c r="N49" s="1" t="str" cm="1">
        <f t="array" ref="N49">"{"&amp;_xlfn.TEXTJOIN(",",FALSE,""""&amp;ASC($A$1:$M$1)&amp;""""&amp;":"&amp;""""&amp;ASC(A49:M49)&amp;"""")&amp;"}"</f>
        <v>{"SchNo":"Q260824-0049","SchDate":"2026/08/24","Line":"前組6","SdNo":"S2602674","SdName":"特別養護老人ﾎｰﾑ","Floor":"2F","Symbol":"SD-31-2","ItemName":"親 枠 R","Qty":"0","StartTime":"14:05","EndTime":"14:05","Remark1":"作業時間合計30分","Remark2":"17900"}</v>
      </c>
    </row>
    <row r="50" spans="1:14" x14ac:dyDescent="0.15">
      <c r="A50" s="1" t="str">
        <f t="shared" si="0"/>
        <v>Q260824-0050</v>
      </c>
      <c r="B50" s="1" t="str">
        <f>TEXT(Sheet2!A50,"yyyy/MM/dd")</f>
        <v>2026/08/24</v>
      </c>
      <c r="C50" s="1" t="str">
        <f>Sheet2!B50&amp;""</f>
        <v>前組6</v>
      </c>
      <c r="D50" s="1" t="str">
        <f>Sheet2!C50&amp;""</f>
        <v>S2602674</v>
      </c>
      <c r="E50" s="1" t="str">
        <f>Sheet2!D50&amp;""</f>
        <v>特別養護老人ホーム</v>
      </c>
      <c r="F50" s="1" t="str">
        <f>Sheet2!E50&amp;""</f>
        <v>2F</v>
      </c>
      <c r="G50" s="1" t="str">
        <f>Sheet2!F50&amp;""</f>
        <v>SD-31-2</v>
      </c>
      <c r="H50" s="1" t="str">
        <f>_xlfn.TEXTJOIN(" ",TRUE,Sheet2!G50,Sheet2!H50,Sheet2!I50)</f>
        <v>親 枠 L</v>
      </c>
      <c r="I50" s="1">
        <f>Sheet2!J50</f>
        <v>0</v>
      </c>
      <c r="J50" s="1" t="str">
        <f>Sheet2!K50&amp;""</f>
        <v>14:05</v>
      </c>
      <c r="K50" s="1" t="str">
        <f>Sheet2!L50&amp;""</f>
        <v>14:05</v>
      </c>
      <c r="L50" s="1" t="str">
        <f>Sheet2!M50&amp;""</f>
        <v>作業時間合計30分</v>
      </c>
      <c r="M50" s="1" t="str">
        <f>Sheet2!N50&amp;""</f>
        <v>17900</v>
      </c>
      <c r="N50" s="1" t="str" cm="1">
        <f t="array" ref="N50">"{"&amp;_xlfn.TEXTJOIN(",",FALSE,""""&amp;ASC($A$1:$M$1)&amp;""""&amp;":"&amp;""""&amp;ASC(A50:M50)&amp;"""")&amp;"}"</f>
        <v>{"SchNo":"Q260824-0050","SchDate":"2026/08/24","Line":"前組6","SdNo":"S2602674","SdName":"特別養護老人ﾎｰﾑ","Floor":"2F","Symbol":"SD-31-2","ItemName":"親 枠 L","Qty":"0","StartTime":"14:05","EndTime":"14:05","Remark1":"作業時間合計30分","Remark2":"17900"}</v>
      </c>
    </row>
    <row r="51" spans="1:14" x14ac:dyDescent="0.15">
      <c r="A51" s="1" t="str">
        <f t="shared" si="0"/>
        <v>Q260824-0051</v>
      </c>
      <c r="B51" s="1" t="str">
        <f>TEXT(Sheet2!A51,"yyyy/MM/dd")</f>
        <v>2026/08/24</v>
      </c>
      <c r="C51" s="1" t="str">
        <f>Sheet2!B51&amp;""</f>
        <v>前組6</v>
      </c>
      <c r="D51" s="1" t="str">
        <f>Sheet2!C51&amp;""</f>
        <v>S2602674</v>
      </c>
      <c r="E51" s="1" t="str">
        <f>Sheet2!D51&amp;""</f>
        <v>特別養護老人ホーム</v>
      </c>
      <c r="F51" s="1" t="str">
        <f>Sheet2!E51&amp;""</f>
        <v>2F</v>
      </c>
      <c r="G51" s="1" t="str">
        <f>Sheet2!F51&amp;""</f>
        <v>SD-31-2</v>
      </c>
      <c r="H51" s="1" t="str">
        <f>_xlfn.TEXTJOIN(" ",TRUE,Sheet2!G51,Sheet2!H51,Sheet2!I51)</f>
        <v>親 枠 L</v>
      </c>
      <c r="I51" s="1">
        <f>Sheet2!J51</f>
        <v>0</v>
      </c>
      <c r="J51" s="1" t="str">
        <f>Sheet2!K51&amp;""</f>
        <v>14:05</v>
      </c>
      <c r="K51" s="1" t="str">
        <f>Sheet2!L51&amp;""</f>
        <v>14:05</v>
      </c>
      <c r="L51" s="1" t="str">
        <f>Sheet2!M51&amp;""</f>
        <v>作業時間合計45分</v>
      </c>
      <c r="M51" s="1" t="str">
        <f>Sheet2!N51&amp;""</f>
        <v>17900</v>
      </c>
      <c r="N51" s="1" t="str" cm="1">
        <f t="array" ref="N51">"{"&amp;_xlfn.TEXTJOIN(",",FALSE,""""&amp;ASC($A$1:$M$1)&amp;""""&amp;":"&amp;""""&amp;ASC(A51:M51)&amp;"""")&amp;"}"</f>
        <v>{"SchNo":"Q260824-0051","SchDate":"2026/08/24","Line":"前組6","SdNo":"S2602674","SdName":"特別養護老人ﾎｰﾑ","Floor":"2F","Symbol":"SD-31-2","ItemName":"親 枠 L","Qty":"0","StartTime":"14:05","EndTime":"14:05","Remark1":"作業時間合計45分","Remark2":"17900"}</v>
      </c>
    </row>
    <row r="52" spans="1:14" x14ac:dyDescent="0.15">
      <c r="A52" s="1" t="str">
        <f t="shared" si="0"/>
        <v>Q260824-0052</v>
      </c>
      <c r="B52" s="1" t="str">
        <f>TEXT(Sheet2!A52,"yyyy/MM/dd")</f>
        <v>2026/08/24</v>
      </c>
      <c r="C52" s="1" t="str">
        <f>Sheet2!B52&amp;""</f>
        <v>前組6</v>
      </c>
      <c r="D52" s="1" t="str">
        <f>Sheet2!C52&amp;""</f>
        <v>S2602674</v>
      </c>
      <c r="E52" s="1" t="str">
        <f>Sheet2!D52&amp;""</f>
        <v>特別養護老人ホーム</v>
      </c>
      <c r="F52" s="1" t="str">
        <f>Sheet2!E52&amp;""</f>
        <v>3F</v>
      </c>
      <c r="G52" s="1" t="str">
        <f>Sheet2!F52&amp;""</f>
        <v>SD-31-2</v>
      </c>
      <c r="H52" s="1" t="str">
        <f>_xlfn.TEXTJOIN(" ",TRUE,Sheet2!G52,Sheet2!H52,Sheet2!I52)</f>
        <v>親 枠 R</v>
      </c>
      <c r="I52" s="1">
        <f>Sheet2!J52</f>
        <v>0</v>
      </c>
      <c r="J52" s="1" t="str">
        <f>Sheet2!K52&amp;""</f>
        <v>14:05</v>
      </c>
      <c r="K52" s="1" t="str">
        <f>Sheet2!L52&amp;""</f>
        <v>14:05</v>
      </c>
      <c r="L52" s="1" t="str">
        <f>Sheet2!M52&amp;""</f>
        <v>作業時間合計35分</v>
      </c>
      <c r="M52" s="1" t="str">
        <f>Sheet2!N52&amp;""</f>
        <v>17900</v>
      </c>
      <c r="N52" s="1" t="str" cm="1">
        <f t="array" ref="N52">"{"&amp;_xlfn.TEXTJOIN(",",FALSE,""""&amp;ASC($A$1:$M$1)&amp;""""&amp;":"&amp;""""&amp;ASC(A52:M52)&amp;"""")&amp;"}"</f>
        <v>{"SchNo":"Q260824-0052","SchDate":"2026/08/24","Line":"前組6","SdNo":"S2602674","SdName":"特別養護老人ﾎｰﾑ","Floor":"3F","Symbol":"SD-31-2","ItemName":"親 枠 R","Qty":"0","StartTime":"14:05","EndTime":"14:05","Remark1":"作業時間合計35分","Remark2":"17900"}</v>
      </c>
    </row>
    <row r="53" spans="1:14" x14ac:dyDescent="0.15">
      <c r="A53" s="1" t="str">
        <f t="shared" si="0"/>
        <v>Q260824-0053</v>
      </c>
      <c r="B53" s="1" t="str">
        <f>TEXT(Sheet2!A53,"yyyy/MM/dd")</f>
        <v>2026/08/24</v>
      </c>
      <c r="C53" s="1" t="str">
        <f>Sheet2!B53&amp;""</f>
        <v>前組6</v>
      </c>
      <c r="D53" s="1" t="str">
        <f>Sheet2!C53&amp;""</f>
        <v>S2602674</v>
      </c>
      <c r="E53" s="1" t="str">
        <f>Sheet2!D53&amp;""</f>
        <v>特別養護老人ホーム</v>
      </c>
      <c r="F53" s="1" t="str">
        <f>Sheet2!E53&amp;""</f>
        <v>3F</v>
      </c>
      <c r="G53" s="1" t="str">
        <f>Sheet2!F53&amp;""</f>
        <v>SD-31-2</v>
      </c>
      <c r="H53" s="1" t="str">
        <f>_xlfn.TEXTJOIN(" ",TRUE,Sheet2!G53,Sheet2!H53,Sheet2!I53)</f>
        <v>親 枠 R</v>
      </c>
      <c r="I53" s="1">
        <f>Sheet2!J53</f>
        <v>0</v>
      </c>
      <c r="J53" s="1" t="str">
        <f>Sheet2!K53&amp;""</f>
        <v>14:05</v>
      </c>
      <c r="K53" s="1" t="str">
        <f>Sheet2!L53&amp;""</f>
        <v>14:05</v>
      </c>
      <c r="L53" s="1" t="str">
        <f>Sheet2!M53&amp;""</f>
        <v>作業時間合計30分</v>
      </c>
      <c r="M53" s="1" t="str">
        <f>Sheet2!N53&amp;""</f>
        <v>17900</v>
      </c>
      <c r="N53" s="1" t="str" cm="1">
        <f t="array" ref="N53">"{"&amp;_xlfn.TEXTJOIN(",",FALSE,""""&amp;ASC($A$1:$M$1)&amp;""""&amp;":"&amp;""""&amp;ASC(A53:M53)&amp;"""")&amp;"}"</f>
        <v>{"SchNo":"Q260824-0053","SchDate":"2026/08/24","Line":"前組6","SdNo":"S2602674","SdName":"特別養護老人ﾎｰﾑ","Floor":"3F","Symbol":"SD-31-2","ItemName":"親 枠 R","Qty":"0","StartTime":"14:05","EndTime":"14:05","Remark1":"作業時間合計30分","Remark2":"17900"}</v>
      </c>
    </row>
    <row r="54" spans="1:14" x14ac:dyDescent="0.15">
      <c r="A54" s="1" t="str">
        <f t="shared" si="0"/>
        <v>Q260824-0054</v>
      </c>
      <c r="B54" s="1" t="str">
        <f>TEXT(Sheet2!A54,"yyyy/MM/dd")</f>
        <v>2026/08/24</v>
      </c>
      <c r="C54" s="1" t="str">
        <f>Sheet2!B54&amp;""</f>
        <v>前組6</v>
      </c>
      <c r="D54" s="1" t="str">
        <f>Sheet2!C54&amp;""</f>
        <v>S2602674</v>
      </c>
      <c r="E54" s="1" t="str">
        <f>Sheet2!D54&amp;""</f>
        <v>特別養護老人ホーム</v>
      </c>
      <c r="F54" s="1" t="str">
        <f>Sheet2!E54&amp;""</f>
        <v>3F</v>
      </c>
      <c r="G54" s="1" t="str">
        <f>Sheet2!F54&amp;""</f>
        <v>SD-31-2</v>
      </c>
      <c r="H54" s="1" t="str">
        <f>_xlfn.TEXTJOIN(" ",TRUE,Sheet2!G54,Sheet2!H54,Sheet2!I54)</f>
        <v>親 枠 L</v>
      </c>
      <c r="I54" s="1">
        <f>Sheet2!J54</f>
        <v>0</v>
      </c>
      <c r="J54" s="1" t="str">
        <f>Sheet2!K54&amp;""</f>
        <v>14:05</v>
      </c>
      <c r="K54" s="1" t="str">
        <f>Sheet2!L54&amp;""</f>
        <v>14:05</v>
      </c>
      <c r="L54" s="1" t="str">
        <f>Sheet2!M54&amp;""</f>
        <v>作業時間合計30分</v>
      </c>
      <c r="M54" s="1" t="str">
        <f>Sheet2!N54&amp;""</f>
        <v>17900</v>
      </c>
      <c r="N54" s="1" t="str" cm="1">
        <f t="array" ref="N54">"{"&amp;_xlfn.TEXTJOIN(",",FALSE,""""&amp;ASC($A$1:$M$1)&amp;""""&amp;":"&amp;""""&amp;ASC(A54:M54)&amp;"""")&amp;"}"</f>
        <v>{"SchNo":"Q260824-0054","SchDate":"2026/08/24","Line":"前組6","SdNo":"S2602674","SdName":"特別養護老人ﾎｰﾑ","Floor":"3F","Symbol":"SD-31-2","ItemName":"親 枠 L","Qty":"0","StartTime":"14:05","EndTime":"14:05","Remark1":"作業時間合計30分","Remark2":"17900"}</v>
      </c>
    </row>
    <row r="55" spans="1:14" x14ac:dyDescent="0.15">
      <c r="A55" s="1" t="str">
        <f t="shared" si="0"/>
        <v>Q260824-0055</v>
      </c>
      <c r="B55" s="1" t="str">
        <f>TEXT(Sheet2!A55,"yyyy/MM/dd")</f>
        <v>2026/08/24</v>
      </c>
      <c r="C55" s="1" t="str">
        <f>Sheet2!B55&amp;""</f>
        <v>前組6</v>
      </c>
      <c r="D55" s="1" t="str">
        <f>Sheet2!C55&amp;""</f>
        <v>S2602674</v>
      </c>
      <c r="E55" s="1" t="str">
        <f>Sheet2!D55&amp;""</f>
        <v>特別養護老人ホーム</v>
      </c>
      <c r="F55" s="1" t="str">
        <f>Sheet2!E55&amp;""</f>
        <v>3F</v>
      </c>
      <c r="G55" s="1" t="str">
        <f>Sheet2!F55&amp;""</f>
        <v>SD-31-2</v>
      </c>
      <c r="H55" s="1" t="str">
        <f>_xlfn.TEXTJOIN(" ",TRUE,Sheet2!G55,Sheet2!H55,Sheet2!I55)</f>
        <v>親 枠 L</v>
      </c>
      <c r="I55" s="1">
        <f>Sheet2!J55</f>
        <v>1</v>
      </c>
      <c r="J55" s="1" t="str">
        <f>Sheet2!K55&amp;""</f>
        <v>14:10</v>
      </c>
      <c r="K55" s="1" t="str">
        <f>Sheet2!L55&amp;""</f>
        <v>14:40</v>
      </c>
      <c r="L55" s="1" t="str">
        <f>Sheet2!M55&amp;""</f>
        <v>下枠曲げ遅れにより中断</v>
      </c>
      <c r="M55" s="1" t="str">
        <f>Sheet2!N55&amp;""</f>
        <v/>
      </c>
      <c r="N55" s="1" t="str" cm="1">
        <f t="array" ref="N55">"{"&amp;_xlfn.TEXTJOIN(",",FALSE,""""&amp;ASC($A$1:$M$1)&amp;""""&amp;":"&amp;""""&amp;ASC(A55:M55)&amp;"""")&amp;"}"</f>
        <v>{"SchNo":"Q260824-0055","SchDate":"2026/08/24","Line":"前組6","SdNo":"S2602674","SdName":"特別養護老人ﾎｰﾑ","Floor":"3F","Symbol":"SD-31-2","ItemName":"親 枠 L","Qty":"1","StartTime":"14:10","EndTime":"14:40","Remark1":"下枠曲げ遅れにより中断","Remark2":""}</v>
      </c>
    </row>
    <row r="56" spans="1:14" x14ac:dyDescent="0.15">
      <c r="A56" s="1" t="str">
        <f t="shared" si="0"/>
        <v>Q260824-0056</v>
      </c>
      <c r="B56" s="1" t="str">
        <f>TEXT(Sheet2!A56,"yyyy/MM/dd")</f>
        <v>2026/08/24</v>
      </c>
      <c r="C56" s="1" t="str">
        <f>Sheet2!B56&amp;""</f>
        <v>前組6</v>
      </c>
      <c r="D56" s="1" t="str">
        <f>Sheet2!C56&amp;""</f>
        <v>S2602674</v>
      </c>
      <c r="E56" s="1" t="str">
        <f>Sheet2!D56&amp;""</f>
        <v>特別養護老人ホーム</v>
      </c>
      <c r="F56" s="1" t="str">
        <f>Sheet2!E56&amp;""</f>
        <v>4F</v>
      </c>
      <c r="G56" s="1" t="str">
        <f>Sheet2!F56&amp;""</f>
        <v>SD-31-2</v>
      </c>
      <c r="H56" s="1" t="str">
        <f>_xlfn.TEXTJOIN(" ",TRUE,Sheet2!G56,Sheet2!H56,Sheet2!I56)</f>
        <v>親 枠 R</v>
      </c>
      <c r="I56" s="1">
        <f>Sheet2!J56</f>
        <v>1</v>
      </c>
      <c r="J56" s="1" t="str">
        <f>Sheet2!K56&amp;""</f>
        <v>14:45</v>
      </c>
      <c r="K56" s="1" t="str">
        <f>Sheet2!L56&amp;""</f>
        <v>15:30</v>
      </c>
      <c r="L56" s="1" t="str">
        <f>Sheet2!M56&amp;""</f>
        <v>下枠曲げ遅れにより中断</v>
      </c>
      <c r="M56" s="1" t="str">
        <f>Sheet2!N56&amp;""</f>
        <v/>
      </c>
      <c r="N56" s="1" t="str" cm="1">
        <f t="array" ref="N56">"{"&amp;_xlfn.TEXTJOIN(",",FALSE,""""&amp;ASC($A$1:$M$1)&amp;""""&amp;":"&amp;""""&amp;ASC(A56:M56)&amp;"""")&amp;"}"</f>
        <v>{"SchNo":"Q260824-0056","SchDate":"2026/08/24","Line":"前組6","SdNo":"S2602674","SdName":"特別養護老人ﾎｰﾑ","Floor":"4F","Symbol":"SD-31-2","ItemName":"親 枠 R","Qty":"1","StartTime":"14:45","EndTime":"15:30","Remark1":"下枠曲げ遅れにより中断","Remark2":""}</v>
      </c>
    </row>
    <row r="57" spans="1:14" x14ac:dyDescent="0.15">
      <c r="A57" s="1" t="str">
        <f t="shared" si="0"/>
        <v>Q260824-0057</v>
      </c>
      <c r="B57" s="1" t="str">
        <f>TEXT(Sheet2!A57,"yyyy/MM/dd")</f>
        <v>2026/08/24</v>
      </c>
      <c r="C57" s="1" t="str">
        <f>Sheet2!B57&amp;""</f>
        <v>前組6</v>
      </c>
      <c r="D57" s="1" t="str">
        <f>Sheet2!C57&amp;""</f>
        <v>S2602674</v>
      </c>
      <c r="E57" s="1" t="str">
        <f>Sheet2!D57&amp;""</f>
        <v>特別養護老人ホーム</v>
      </c>
      <c r="F57" s="1" t="str">
        <f>Sheet2!E57&amp;""</f>
        <v>4F</v>
      </c>
      <c r="G57" s="1" t="str">
        <f>Sheet2!F57&amp;""</f>
        <v>SD-31-2</v>
      </c>
      <c r="H57" s="1" t="str">
        <f>_xlfn.TEXTJOIN(" ",TRUE,Sheet2!G57,Sheet2!H57,Sheet2!I57)</f>
        <v>親 枠 R</v>
      </c>
      <c r="I57" s="1">
        <f>Sheet2!J57</f>
        <v>1</v>
      </c>
      <c r="J57" s="1" t="str">
        <f>Sheet2!K57&amp;""</f>
        <v>15:35</v>
      </c>
      <c r="K57" s="1" t="str">
        <f>Sheet2!L57&amp;""</f>
        <v>16:05</v>
      </c>
      <c r="L57" s="1" t="str">
        <f>Sheet2!M57&amp;""</f>
        <v>下枠曲げ遅れにより中断</v>
      </c>
      <c r="M57" s="1" t="str">
        <f>Sheet2!N57&amp;""</f>
        <v/>
      </c>
      <c r="N57" s="1" t="str" cm="1">
        <f t="array" ref="N57">"{"&amp;_xlfn.TEXTJOIN(",",FALSE,""""&amp;ASC($A$1:$M$1)&amp;""""&amp;":"&amp;""""&amp;ASC(A57:M57)&amp;"""")&amp;"}"</f>
        <v>{"SchNo":"Q260824-0057","SchDate":"2026/08/24","Line":"前組6","SdNo":"S2602674","SdName":"特別養護老人ﾎｰﾑ","Floor":"4F","Symbol":"SD-31-2","ItemName":"親 枠 R","Qty":"1","StartTime":"15:35","EndTime":"16:05","Remark1":"下枠曲げ遅れにより中断","Remark2":""}</v>
      </c>
    </row>
    <row r="58" spans="1:14" x14ac:dyDescent="0.15">
      <c r="A58" s="1" t="str">
        <f t="shared" si="0"/>
        <v>Q260824-0058</v>
      </c>
      <c r="B58" s="1" t="str">
        <f>TEXT(Sheet2!A58,"yyyy/MM/dd")</f>
        <v>2026/08/24</v>
      </c>
      <c r="C58" s="1" t="str">
        <f>Sheet2!B58&amp;""</f>
        <v>前組6</v>
      </c>
      <c r="D58" s="1" t="str">
        <f>Sheet2!C58&amp;""</f>
        <v>S2602674</v>
      </c>
      <c r="E58" s="1" t="str">
        <f>Sheet2!D58&amp;""</f>
        <v>特別養護老人ホーム</v>
      </c>
      <c r="F58" s="1" t="str">
        <f>Sheet2!E58&amp;""</f>
        <v>3F</v>
      </c>
      <c r="G58" s="1" t="str">
        <f>Sheet2!F58&amp;""</f>
        <v>SD-31-2</v>
      </c>
      <c r="H58" s="1" t="str">
        <f>_xlfn.TEXTJOIN(" ",TRUE,Sheet2!G58,Sheet2!H58,Sheet2!I58)</f>
        <v>親 枠 L</v>
      </c>
      <c r="I58" s="1">
        <f>Sheet2!J58</f>
        <v>0</v>
      </c>
      <c r="J58" s="1" t="str">
        <f>Sheet2!K58&amp;""</f>
        <v>16:05</v>
      </c>
      <c r="K58" s="1" t="str">
        <f>Sheet2!L58&amp;""</f>
        <v>16:05</v>
      </c>
      <c r="L58" s="1" t="str">
        <f>Sheet2!M58&amp;""</f>
        <v>作業時間合計35分</v>
      </c>
      <c r="M58" s="1" t="str">
        <f>Sheet2!N58&amp;""</f>
        <v>17900</v>
      </c>
      <c r="N58" s="1" t="str" cm="1">
        <f t="array" ref="N58">"{"&amp;_xlfn.TEXTJOIN(",",FALSE,""""&amp;ASC($A$1:$M$1)&amp;""""&amp;":"&amp;""""&amp;ASC(A58:M58)&amp;"""")&amp;"}"</f>
        <v>{"SchNo":"Q260824-0058","SchDate":"2026/08/24","Line":"前組6","SdNo":"S2602674","SdName":"特別養護老人ﾎｰﾑ","Floor":"3F","Symbol":"SD-31-2","ItemName":"親 枠 L","Qty":"0","StartTime":"16:05","EndTime":"16:05","Remark1":"作業時間合計35分","Remark2":"17900"}</v>
      </c>
    </row>
    <row r="59" spans="1:14" x14ac:dyDescent="0.15">
      <c r="A59" s="1" t="str">
        <f t="shared" si="0"/>
        <v>Q260824-0059</v>
      </c>
      <c r="B59" s="1" t="str">
        <f>TEXT(Sheet2!A59,"yyyy/MM/dd")</f>
        <v>2026/08/24</v>
      </c>
      <c r="C59" s="1" t="str">
        <f>Sheet2!B59&amp;""</f>
        <v>前組6</v>
      </c>
      <c r="D59" s="1" t="str">
        <f>Sheet2!C59&amp;""</f>
        <v>S2602674</v>
      </c>
      <c r="E59" s="1" t="str">
        <f>Sheet2!D59&amp;""</f>
        <v>特別養護老人ホーム</v>
      </c>
      <c r="F59" s="1" t="str">
        <f>Sheet2!E59&amp;""</f>
        <v>4F</v>
      </c>
      <c r="G59" s="1" t="str">
        <f>Sheet2!F59&amp;""</f>
        <v>SD-31-2</v>
      </c>
      <c r="H59" s="1" t="str">
        <f>_xlfn.TEXTJOIN(" ",TRUE,Sheet2!G59,Sheet2!H59,Sheet2!I59)</f>
        <v>親 枠 R</v>
      </c>
      <c r="I59" s="1">
        <f>Sheet2!J59</f>
        <v>0</v>
      </c>
      <c r="J59" s="1" t="str">
        <f>Sheet2!K59&amp;""</f>
        <v>16:05</v>
      </c>
      <c r="K59" s="1" t="str">
        <f>Sheet2!L59&amp;""</f>
        <v>16:05</v>
      </c>
      <c r="L59" s="1" t="str">
        <f>Sheet2!M59&amp;""</f>
        <v>作業時間合計30分</v>
      </c>
      <c r="M59" s="1" t="str">
        <f>Sheet2!N59&amp;""</f>
        <v>17900</v>
      </c>
      <c r="N59" s="1" t="str" cm="1">
        <f t="array" ref="N59">"{"&amp;_xlfn.TEXTJOIN(",",FALSE,""""&amp;ASC($A$1:$M$1)&amp;""""&amp;":"&amp;""""&amp;ASC(A59:M59)&amp;"""")&amp;"}"</f>
        <v>{"SchNo":"Q260824-0059","SchDate":"2026/08/24","Line":"前組6","SdNo":"S2602674","SdName":"特別養護老人ﾎｰﾑ","Floor":"4F","Symbol":"SD-31-2","ItemName":"親 枠 R","Qty":"0","StartTime":"16:05","EndTime":"16:05","Remark1":"作業時間合計30分","Remark2":"17900"}</v>
      </c>
    </row>
    <row r="60" spans="1:14" x14ac:dyDescent="0.15">
      <c r="A60" s="1" t="str">
        <f t="shared" si="0"/>
        <v>Q260824-0060</v>
      </c>
      <c r="B60" s="1" t="str">
        <f>TEXT(Sheet2!A60,"yyyy/MM/dd")</f>
        <v>2026/08/24</v>
      </c>
      <c r="C60" s="1" t="str">
        <f>Sheet2!B60&amp;""</f>
        <v>前組6</v>
      </c>
      <c r="D60" s="1" t="str">
        <f>Sheet2!C60&amp;""</f>
        <v>S2602674</v>
      </c>
      <c r="E60" s="1" t="str">
        <f>Sheet2!D60&amp;""</f>
        <v>特別養護老人ホーム</v>
      </c>
      <c r="F60" s="1" t="str">
        <f>Sheet2!E60&amp;""</f>
        <v>4F</v>
      </c>
      <c r="G60" s="1" t="str">
        <f>Sheet2!F60&amp;""</f>
        <v>SD-31-2</v>
      </c>
      <c r="H60" s="1" t="str">
        <f>_xlfn.TEXTJOIN(" ",TRUE,Sheet2!G60,Sheet2!H60,Sheet2!I60)</f>
        <v>親 枠 R</v>
      </c>
      <c r="I60" s="1">
        <f>Sheet2!J60</f>
        <v>0</v>
      </c>
      <c r="J60" s="1" t="str">
        <f>Sheet2!K60&amp;""</f>
        <v>16:05</v>
      </c>
      <c r="K60" s="1" t="str">
        <f>Sheet2!L60&amp;""</f>
        <v>16:05</v>
      </c>
      <c r="L60" s="1" t="str">
        <f>Sheet2!M60&amp;""</f>
        <v>作業時間合計30分</v>
      </c>
      <c r="M60" s="1" t="str">
        <f>Sheet2!N60&amp;""</f>
        <v>17900</v>
      </c>
      <c r="N60" s="1" t="str" cm="1">
        <f t="array" ref="N60">"{"&amp;_xlfn.TEXTJOIN(",",FALSE,""""&amp;ASC($A$1:$M$1)&amp;""""&amp;":"&amp;""""&amp;ASC(A60:M60)&amp;"""")&amp;"}"</f>
        <v>{"SchNo":"Q260824-0060","SchDate":"2026/08/24","Line":"前組6","SdNo":"S2602674","SdName":"特別養護老人ﾎｰﾑ","Floor":"4F","Symbol":"SD-31-2","ItemName":"親 枠 R","Qty":"0","StartTime":"16:05","EndTime":"16:05","Remark1":"作業時間合計30分","Remark2":"17900"}</v>
      </c>
    </row>
    <row r="61" spans="1:14" x14ac:dyDescent="0.15">
      <c r="A61" s="1" t="str">
        <f t="shared" si="0"/>
        <v>Q260824-0061</v>
      </c>
      <c r="B61" s="1" t="str">
        <f>TEXT(Sheet2!A61,"yyyy/MM/dd")</f>
        <v>2026/08/24</v>
      </c>
      <c r="C61" s="1" t="str">
        <f>Sheet2!B61&amp;""</f>
        <v>前組6</v>
      </c>
      <c r="D61" s="1" t="str">
        <f>Sheet2!C61&amp;""</f>
        <v>S2602674</v>
      </c>
      <c r="E61" s="1" t="str">
        <f>Sheet2!D61&amp;""</f>
        <v>特別養護老人ホーム</v>
      </c>
      <c r="F61" s="1" t="str">
        <f>Sheet2!E61&amp;""</f>
        <v>4F</v>
      </c>
      <c r="G61" s="1" t="str">
        <f>Sheet2!F61&amp;""</f>
        <v>SD-31-2</v>
      </c>
      <c r="H61" s="1" t="str">
        <f>_xlfn.TEXTJOIN(" ",TRUE,Sheet2!G61,Sheet2!H61,Sheet2!I61)</f>
        <v>親 枠 L</v>
      </c>
      <c r="I61" s="1">
        <f>Sheet2!J61</f>
        <v>1</v>
      </c>
      <c r="J61" s="1" t="str">
        <f>Sheet2!K61&amp;""</f>
        <v>16:10</v>
      </c>
      <c r="K61" s="1" t="str">
        <f>Sheet2!L61&amp;""</f>
        <v>16:40</v>
      </c>
      <c r="L61" s="1" t="str">
        <f>Sheet2!M61&amp;""</f>
        <v/>
      </c>
      <c r="M61" s="1" t="str">
        <f>Sheet2!N61&amp;""</f>
        <v>17900</v>
      </c>
      <c r="N61" s="1" t="str" cm="1">
        <f t="array" ref="N61">"{"&amp;_xlfn.TEXTJOIN(",",FALSE,""""&amp;ASC($A$1:$M$1)&amp;""""&amp;":"&amp;""""&amp;ASC(A61:M61)&amp;"""")&amp;"}"</f>
        <v>{"SchNo":"Q260824-0061","SchDate":"2026/08/24","Line":"前組6","SdNo":"S2602674","SdName":"特別養護老人ﾎｰﾑ","Floor":"4F","Symbol":"SD-31-2","ItemName":"親 枠 L","Qty":"1","StartTime":"16:10","EndTime":"16:40","Remark1":"","Remark2":"17900"}</v>
      </c>
    </row>
    <row r="62" spans="1:14" x14ac:dyDescent="0.15">
      <c r="A62" s="1" t="str">
        <f t="shared" si="0"/>
        <v>Q260824-0062</v>
      </c>
      <c r="B62" s="1" t="str">
        <f>TEXT(Sheet2!A62,"yyyy/MM/dd")</f>
        <v>2026/08/24</v>
      </c>
      <c r="C62" s="1" t="str">
        <f>Sheet2!B62&amp;""</f>
        <v>前組6</v>
      </c>
      <c r="D62" s="1" t="str">
        <f>Sheet2!C62&amp;""</f>
        <v>S2602674</v>
      </c>
      <c r="E62" s="1" t="str">
        <f>Sheet2!D62&amp;""</f>
        <v>特別養護老人ホーム</v>
      </c>
      <c r="F62" s="1" t="str">
        <f>Sheet2!E62&amp;""</f>
        <v>4F</v>
      </c>
      <c r="G62" s="1" t="str">
        <f>Sheet2!F62&amp;""</f>
        <v>SD-31-2</v>
      </c>
      <c r="H62" s="1" t="str">
        <f>_xlfn.TEXTJOIN(" ",TRUE,Sheet2!G62,Sheet2!H62,Sheet2!I62)</f>
        <v>親 枠 L</v>
      </c>
      <c r="I62" s="1">
        <f>Sheet2!J62</f>
        <v>1</v>
      </c>
      <c r="J62" s="1" t="str">
        <f>Sheet2!K62&amp;""</f>
        <v>16:45</v>
      </c>
      <c r="K62" s="1" t="str">
        <f>Sheet2!L62&amp;""</f>
        <v>17:15</v>
      </c>
      <c r="L62" s="1" t="str">
        <f>Sheet2!M62&amp;""</f>
        <v/>
      </c>
      <c r="M62" s="1" t="str">
        <f>Sheet2!N62&amp;""</f>
        <v>17900</v>
      </c>
      <c r="N62" s="1" t="str" cm="1">
        <f t="array" ref="N62">"{"&amp;_xlfn.TEXTJOIN(",",FALSE,""""&amp;ASC($A$1:$M$1)&amp;""""&amp;":"&amp;""""&amp;ASC(A62:M62)&amp;"""")&amp;"}"</f>
        <v>{"SchNo":"Q260824-0062","SchDate":"2026/08/24","Line":"前組6","SdNo":"S2602674","SdName":"特別養護老人ﾎｰﾑ","Floor":"4F","Symbol":"SD-31-2","ItemName":"親 枠 L","Qty":"1","StartTime":"16:45","EndTime":"17:15","Remark1":"","Remark2":"17900"}</v>
      </c>
    </row>
    <row r="63" spans="1:14" x14ac:dyDescent="0.15">
      <c r="A63" s="1" t="str">
        <f t="shared" si="0"/>
        <v>Q260824-0063</v>
      </c>
      <c r="B63" s="1" t="str">
        <f>TEXT(Sheet2!A63,"yyyy/MM/dd")</f>
        <v>2026/08/24</v>
      </c>
      <c r="C63" s="1" t="str">
        <f>Sheet2!B63&amp;""</f>
        <v>前組6</v>
      </c>
      <c r="D63" s="1" t="str">
        <f>Sheet2!C63&amp;""</f>
        <v>S2602592</v>
      </c>
      <c r="E63" s="1" t="str">
        <f>Sheet2!D63&amp;""</f>
        <v>TOK1__E__210-E520＿I</v>
      </c>
      <c r="F63" s="1" t="str">
        <f>Sheet2!E63&amp;""</f>
        <v>1F</v>
      </c>
      <c r="G63" s="1" t="str">
        <f>Sheet2!F63&amp;""</f>
        <v>E01SP-1</v>
      </c>
      <c r="H63" s="1" t="str">
        <f>_xlfn.TEXTJOIN(" ",TRUE,Sheet2!G63,Sheet2!H63,Sheet2!I63)</f>
        <v>親 枠 R</v>
      </c>
      <c r="I63" s="1">
        <f>Sheet2!J63</f>
        <v>0</v>
      </c>
      <c r="J63" s="1" t="str">
        <f>Sheet2!K63&amp;""</f>
        <v>17:15</v>
      </c>
      <c r="K63" s="1" t="str">
        <f>Sheet2!L63&amp;""</f>
        <v>17:15</v>
      </c>
      <c r="L63" s="1" t="str">
        <f>Sheet2!M63&amp;""</f>
        <v>本組春木分</v>
      </c>
      <c r="M63" s="1" t="str">
        <f>Sheet2!N63&amp;""</f>
        <v/>
      </c>
      <c r="N63" s="1" t="str" cm="1">
        <f t="array" ref="N63">"{"&amp;_xlfn.TEXTJOIN(",",FALSE,""""&amp;ASC($A$1:$M$1)&amp;""""&amp;":"&amp;""""&amp;ASC(A63:M63)&amp;"""")&amp;"}"</f>
        <v>{"SchNo":"Q260824-0063","SchDate":"2026/08/24","Line":"前組6","SdNo":"S2602592","SdName":"TOK1__E__210-E520_I","Floor":"1F","Symbol":"E01SP-1","ItemName":"親 枠 R","Qty":"0","StartTime":"17:15","EndTime":"17:15","Remark1":"本組春木分","Remark2":""}</v>
      </c>
    </row>
    <row r="64" spans="1:14" x14ac:dyDescent="0.15">
      <c r="A64" s="1" t="str">
        <f t="shared" si="0"/>
        <v>Q260824-0064</v>
      </c>
      <c r="B64" s="1" t="str">
        <f>TEXT(Sheet2!A64,"yyyy/MM/dd")</f>
        <v>2026/08/24</v>
      </c>
      <c r="C64" s="1" t="str">
        <f>Sheet2!B64&amp;""</f>
        <v>前組6</v>
      </c>
      <c r="D64" s="1" t="str">
        <f>Sheet2!C64&amp;""</f>
        <v>S2602592</v>
      </c>
      <c r="E64" s="1" t="str">
        <f>Sheet2!D64&amp;""</f>
        <v>TOK1__E__210-E520＿I</v>
      </c>
      <c r="F64" s="1" t="str">
        <f>Sheet2!E64&amp;""</f>
        <v>1F</v>
      </c>
      <c r="G64" s="1" t="str">
        <f>Sheet2!F64&amp;""</f>
        <v>E01SP-1</v>
      </c>
      <c r="H64" s="1" t="str">
        <f>_xlfn.TEXTJOIN(" ",TRUE,Sheet2!G64,Sheet2!H64,Sheet2!I64)</f>
        <v>親 枠 R</v>
      </c>
      <c r="I64" s="1">
        <f>Sheet2!J64</f>
        <v>0</v>
      </c>
      <c r="J64" s="1" t="str">
        <f>Sheet2!K64&amp;""</f>
        <v>17:15</v>
      </c>
      <c r="K64" s="1" t="str">
        <f>Sheet2!L64&amp;""</f>
        <v>17:15</v>
      </c>
      <c r="L64" s="1" t="str">
        <f>Sheet2!M64&amp;""</f>
        <v>本組春木分</v>
      </c>
      <c r="M64" s="1" t="str">
        <f>Sheet2!N64&amp;""</f>
        <v/>
      </c>
      <c r="N64" s="1" t="str" cm="1">
        <f t="array" ref="N64">"{"&amp;_xlfn.TEXTJOIN(",",FALSE,""""&amp;ASC($A$1:$M$1)&amp;""""&amp;":"&amp;""""&amp;ASC(A64:M64)&amp;"""")&amp;"}"</f>
        <v>{"SchNo":"Q260824-0064","SchDate":"2026/08/24","Line":"前組6","SdNo":"S2602592","SdName":"TOK1__E__210-E520_I","Floor":"1F","Symbol":"E01SP-1","ItemName":"親 枠 R","Qty":"0","StartTime":"17:15","EndTime":"17:15","Remark1":"本組春木分","Remark2":""}</v>
      </c>
    </row>
    <row r="65" spans="1:14" x14ac:dyDescent="0.15">
      <c r="A65" s="1" t="str">
        <f t="shared" si="0"/>
        <v>Q260824-0065</v>
      </c>
      <c r="B65" s="1" t="str">
        <f>TEXT(Sheet2!A65,"yyyy/MM/dd")</f>
        <v>2026/08/24</v>
      </c>
      <c r="C65" s="1" t="str">
        <f>Sheet2!B65&amp;""</f>
        <v>前組6</v>
      </c>
      <c r="D65" s="1" t="str">
        <f>Sheet2!C65&amp;""</f>
        <v>S2602592</v>
      </c>
      <c r="E65" s="1" t="str">
        <f>Sheet2!D65&amp;""</f>
        <v>TOK1__E__210-E520＿I</v>
      </c>
      <c r="F65" s="1" t="str">
        <f>Sheet2!E65&amp;""</f>
        <v>1F</v>
      </c>
      <c r="G65" s="1" t="str">
        <f>Sheet2!F65&amp;""</f>
        <v>E01SP-1A</v>
      </c>
      <c r="H65" s="1" t="str">
        <f>_xlfn.TEXTJOIN(" ",TRUE,Sheet2!G65,Sheet2!H65,Sheet2!I65)</f>
        <v>親 枠 R</v>
      </c>
      <c r="I65" s="1">
        <f>Sheet2!J65</f>
        <v>0</v>
      </c>
      <c r="J65" s="1" t="str">
        <f>Sheet2!K65&amp;""</f>
        <v>17:15</v>
      </c>
      <c r="K65" s="1" t="str">
        <f>Sheet2!L65&amp;""</f>
        <v>17:15</v>
      </c>
      <c r="L65" s="1" t="str">
        <f>Sheet2!M65&amp;""</f>
        <v>木村分</v>
      </c>
      <c r="M65" s="1" t="str">
        <f>Sheet2!N65&amp;""</f>
        <v/>
      </c>
      <c r="N65" s="1" t="str" cm="1">
        <f t="array" ref="N65">"{"&amp;_xlfn.TEXTJOIN(",",FALSE,""""&amp;ASC($A$1:$M$1)&amp;""""&amp;":"&amp;""""&amp;ASC(A65:M65)&amp;"""")&amp;"}"</f>
        <v>{"SchNo":"Q260824-0065","SchDate":"2026/08/24","Line":"前組6","SdNo":"S2602592","SdName":"TOK1__E__210-E520_I","Floor":"1F","Symbol":"E01SP-1A","ItemName":"親 枠 R","Qty":"0","StartTime":"17:15","EndTime":"17:15","Remark1":"木村分","Remark2":""}</v>
      </c>
    </row>
    <row r="66" spans="1:14" x14ac:dyDescent="0.15">
      <c r="A66" s="1" t="str">
        <f t="shared" si="0"/>
        <v>Q260824-0066</v>
      </c>
      <c r="B66" s="1" t="str">
        <f>TEXT(Sheet2!A66,"yyyy/MM/dd")</f>
        <v>2026/08/24</v>
      </c>
      <c r="C66" s="1" t="str">
        <f>Sheet2!B66&amp;""</f>
        <v>前組6</v>
      </c>
      <c r="D66" s="1" t="str">
        <f>Sheet2!C66&amp;""</f>
        <v>S2602592</v>
      </c>
      <c r="E66" s="1" t="str">
        <f>Sheet2!D66&amp;""</f>
        <v>TOK1__E__210-E520＿I</v>
      </c>
      <c r="F66" s="1" t="str">
        <f>Sheet2!E66&amp;""</f>
        <v>1F</v>
      </c>
      <c r="G66" s="1" t="str">
        <f>Sheet2!F66&amp;""</f>
        <v>E01SP-1A</v>
      </c>
      <c r="H66" s="1" t="str">
        <f>_xlfn.TEXTJOIN(" ",TRUE,Sheet2!G66,Sheet2!H66,Sheet2!I66)</f>
        <v>親 枠 R</v>
      </c>
      <c r="I66" s="1">
        <f>Sheet2!J66</f>
        <v>1</v>
      </c>
      <c r="J66" s="1" t="str">
        <f>Sheet2!K66&amp;""</f>
        <v>17:35</v>
      </c>
      <c r="K66" s="1" t="str">
        <f>Sheet2!L66&amp;""</f>
        <v>18:15</v>
      </c>
      <c r="L66" s="1" t="str">
        <f>Sheet2!M66&amp;""</f>
        <v/>
      </c>
      <c r="M66" s="1" t="str">
        <f>Sheet2!N66&amp;""</f>
        <v>33000</v>
      </c>
      <c r="N66" s="1" t="str" cm="1">
        <f t="array" ref="N66">"{"&amp;_xlfn.TEXTJOIN(",",FALSE,""""&amp;ASC($A$1:$M$1)&amp;""""&amp;":"&amp;""""&amp;ASC(A66:M66)&amp;"""")&amp;"}"</f>
        <v>{"SchNo":"Q260824-0066","SchDate":"2026/08/24","Line":"前組6","SdNo":"S2602592","SdName":"TOK1__E__210-E520_I","Floor":"1F","Symbol":"E01SP-1A","ItemName":"親 枠 R","Qty":"1","StartTime":"17:35","EndTime":"18:15","Remark1":"","Remark2":"33000"}</v>
      </c>
    </row>
    <row r="67" spans="1:14" x14ac:dyDescent="0.15">
      <c r="A67" s="1" t="str">
        <f t="shared" ref="A67:A73" si="1">"Q"&amp;TEXT(B67,"yyMMdd")&amp;"-"&amp;TEXT(ROW(),"0000")</f>
        <v>Q260824-0067</v>
      </c>
      <c r="B67" s="1" t="str">
        <f>TEXT(Sheet2!A67,"yyyy/MM/dd")</f>
        <v>2026/08/24</v>
      </c>
      <c r="C67" s="1" t="str">
        <f>Sheet2!B67&amp;""</f>
        <v>前組7</v>
      </c>
      <c r="D67" s="1" t="str">
        <f>Sheet2!C67&amp;""</f>
        <v>S2602671</v>
      </c>
      <c r="E67" s="1" t="str">
        <f>Sheet2!D67&amp;""</f>
        <v>所沢市小手指一丁目計画</v>
      </c>
      <c r="F67" s="1" t="str">
        <f>Sheet2!E67&amp;""</f>
        <v>2F</v>
      </c>
      <c r="G67" s="1" t="str">
        <f>Sheet2!F67&amp;""</f>
        <v>SD-213</v>
      </c>
      <c r="H67" s="1" t="str">
        <f>_xlfn.TEXTJOIN(" ",TRUE,Sheet2!G67,Sheet2!H67,Sheet2!I67)</f>
        <v>親 枠 L</v>
      </c>
      <c r="I67" s="1">
        <f>Sheet2!J67</f>
        <v>1</v>
      </c>
      <c r="J67" s="1" t="str">
        <f>Sheet2!K67&amp;""</f>
        <v>8:40</v>
      </c>
      <c r="K67" s="1" t="str">
        <f>Sheet2!L67&amp;""</f>
        <v>13:05</v>
      </c>
      <c r="L67" s="1" t="str">
        <f>Sheet2!M67&amp;""</f>
        <v>曲げ未完了により中断</v>
      </c>
      <c r="M67" s="1" t="str">
        <f>Sheet2!N67&amp;""</f>
        <v/>
      </c>
      <c r="N67" s="1" t="str" cm="1">
        <f t="array" ref="N67">"{"&amp;_xlfn.TEXTJOIN(",",FALSE,""""&amp;ASC($A$1:$M$1)&amp;""""&amp;":"&amp;""""&amp;ASC(A67:M67)&amp;"""")&amp;"}"</f>
        <v>{"SchNo":"Q260824-0067","SchDate":"2026/08/24","Line":"前組7","SdNo":"S2602671","SdName":"所沢市小手指一丁目計画","Floor":"2F","Symbol":"SD-213","ItemName":"親 枠 L","Qty":"1","StartTime":"8:40","EndTime":"13:05","Remark1":"曲げ未完了により中断","Remark2":""}</v>
      </c>
    </row>
    <row r="68" spans="1:14" x14ac:dyDescent="0.15">
      <c r="A68" s="1" t="str">
        <f t="shared" si="1"/>
        <v>Q260824-0068</v>
      </c>
      <c r="B68" s="1" t="str">
        <f>TEXT(Sheet2!A68,"yyyy/MM/dd")</f>
        <v>2026/08/24</v>
      </c>
      <c r="C68" s="1" t="str">
        <f>Sheet2!B68&amp;""</f>
        <v>前組7</v>
      </c>
      <c r="D68" s="1" t="str">
        <f>Sheet2!C68&amp;""</f>
        <v>S2602671</v>
      </c>
      <c r="E68" s="1" t="str">
        <f>Sheet2!D68&amp;""</f>
        <v>所沢市小手指一丁目計画</v>
      </c>
      <c r="F68" s="1" t="str">
        <f>Sheet2!E68&amp;""</f>
        <v>2F</v>
      </c>
      <c r="G68" s="1" t="str">
        <f>Sheet2!F68&amp;""</f>
        <v>SD-253</v>
      </c>
      <c r="H68" s="1" t="str">
        <f>_xlfn.TEXTJOIN(" ",TRUE,Sheet2!G68,Sheet2!H68,Sheet2!I68)</f>
        <v>親 枠 R</v>
      </c>
      <c r="I68" s="1">
        <f>Sheet2!J68</f>
        <v>1</v>
      </c>
      <c r="J68" s="1" t="str">
        <f>Sheet2!K68&amp;""</f>
        <v>13:25</v>
      </c>
      <c r="K68" s="1" t="str">
        <f>Sheet2!L68&amp;""</f>
        <v>16:40</v>
      </c>
      <c r="L68" s="1" t="str">
        <f>Sheet2!M68&amp;""</f>
        <v/>
      </c>
      <c r="M68" s="1" t="str">
        <f>Sheet2!N68&amp;""</f>
        <v>110700</v>
      </c>
      <c r="N68" s="1" t="str" cm="1">
        <f t="array" ref="N68">"{"&amp;_xlfn.TEXTJOIN(",",FALSE,""""&amp;ASC($A$1:$M$1)&amp;""""&amp;":"&amp;""""&amp;ASC(A68:M68)&amp;"""")&amp;"}"</f>
        <v>{"SchNo":"Q260824-0068","SchDate":"2026/08/24","Line":"前組7","SdNo":"S2602671","SdName":"所沢市小手指一丁目計画","Floor":"2F","Symbol":"SD-253","ItemName":"親 枠 R","Qty":"1","StartTime":"13:25","EndTime":"16:40","Remark1":"","Remark2":"110700"}</v>
      </c>
    </row>
    <row r="69" spans="1:14" x14ac:dyDescent="0.15">
      <c r="A69" s="1" t="str">
        <f t="shared" si="1"/>
        <v>Q260824-0069</v>
      </c>
      <c r="B69" s="1" t="str">
        <f>TEXT(Sheet2!A69,"yyyy/MM/dd")</f>
        <v>2026/08/24</v>
      </c>
      <c r="C69" s="1" t="str">
        <f>Sheet2!B69&amp;""</f>
        <v>前組7</v>
      </c>
      <c r="D69" s="1" t="str">
        <f>Sheet2!C69&amp;""</f>
        <v>S2602671</v>
      </c>
      <c r="E69" s="1" t="str">
        <f>Sheet2!D69&amp;""</f>
        <v>所沢市小手指一丁目計画</v>
      </c>
      <c r="F69" s="1" t="str">
        <f>Sheet2!E69&amp;""</f>
        <v>2F</v>
      </c>
      <c r="G69" s="1" t="str">
        <f>Sheet2!F69&amp;""</f>
        <v>SD-213</v>
      </c>
      <c r="H69" s="1" t="str">
        <f>_xlfn.TEXTJOIN(" ",TRUE,Sheet2!G69,Sheet2!H69,Sheet2!I69)</f>
        <v>親 枠 L</v>
      </c>
      <c r="I69" s="1">
        <f>Sheet2!J69</f>
        <v>0</v>
      </c>
      <c r="J69" s="1" t="str">
        <f>Sheet2!K69&amp;""</f>
        <v>16:40</v>
      </c>
      <c r="K69" s="1" t="str">
        <f>Sheet2!L69&amp;""</f>
        <v>16:40</v>
      </c>
      <c r="L69" s="1" t="str">
        <f>Sheet2!M69&amp;""</f>
        <v>作業時間合計240分</v>
      </c>
      <c r="M69" s="1" t="str">
        <f>Sheet2!N69&amp;""</f>
        <v>109900</v>
      </c>
      <c r="N69" s="1" t="str" cm="1">
        <f t="array" ref="N69">"{"&amp;_xlfn.TEXTJOIN(",",FALSE,""""&amp;ASC($A$1:$M$1)&amp;""""&amp;":"&amp;""""&amp;ASC(A69:M69)&amp;"""")&amp;"}"</f>
        <v>{"SchNo":"Q260824-0069","SchDate":"2026/08/24","Line":"前組7","SdNo":"S2602671","SdName":"所沢市小手指一丁目計画","Floor":"2F","Symbol":"SD-213","ItemName":"親 枠 L","Qty":"0","StartTime":"16:40","EndTime":"16:40","Remark1":"作業時間合計240分","Remark2":"109900"}</v>
      </c>
    </row>
    <row r="70" spans="1:14" x14ac:dyDescent="0.15">
      <c r="A70" s="1" t="str">
        <f t="shared" si="1"/>
        <v>Q260824-0070</v>
      </c>
      <c r="B70" s="1" t="str">
        <f>TEXT(Sheet2!A70,"yyyy/MM/dd")</f>
        <v>2026/08/24</v>
      </c>
      <c r="C70" s="1" t="str">
        <f>Sheet2!B70&amp;""</f>
        <v>前組7</v>
      </c>
      <c r="D70" s="1" t="str">
        <f>Sheet2!C70&amp;""</f>
        <v>S2602674</v>
      </c>
      <c r="E70" s="1" t="str">
        <f>Sheet2!D70&amp;""</f>
        <v>特別養護老人ホーム</v>
      </c>
      <c r="F70" s="1" t="str">
        <f>Sheet2!E70&amp;""</f>
        <v>2F</v>
      </c>
      <c r="G70" s="1" t="str">
        <f>Sheet2!F70&amp;""</f>
        <v>SD-31A</v>
      </c>
      <c r="H70" s="1" t="str">
        <f>_xlfn.TEXTJOIN(" ",TRUE,Sheet2!G70,Sheet2!H70,Sheet2!I70)</f>
        <v>親 枠 R</v>
      </c>
      <c r="I70" s="1">
        <f>Sheet2!J70</f>
        <v>1</v>
      </c>
      <c r="J70" s="1" t="str">
        <f>Sheet2!K70&amp;""</f>
        <v>17:00</v>
      </c>
      <c r="K70" s="1" t="str">
        <f>Sheet2!L70&amp;""</f>
        <v>17:40</v>
      </c>
      <c r="L70" s="1" t="str">
        <f>Sheet2!M70&amp;""</f>
        <v/>
      </c>
      <c r="M70" s="1" t="str">
        <f>Sheet2!N70&amp;""</f>
        <v>21600</v>
      </c>
      <c r="N70" s="1" t="str" cm="1">
        <f t="array" ref="N70">"{"&amp;_xlfn.TEXTJOIN(",",FALSE,""""&amp;ASC($A$1:$M$1)&amp;""""&amp;":"&amp;""""&amp;ASC(A70:M70)&amp;"""")&amp;"}"</f>
        <v>{"SchNo":"Q260824-0070","SchDate":"2026/08/24","Line":"前組7","SdNo":"S2602674","SdName":"特別養護老人ﾎｰﾑ","Floor":"2F","Symbol":"SD-31A","ItemName":"親 枠 R","Qty":"1","StartTime":"17:00","EndTime":"17:40","Remark1":"","Remark2":"21600"}</v>
      </c>
    </row>
    <row r="71" spans="1:14" x14ac:dyDescent="0.15">
      <c r="A71" s="1" t="str">
        <f t="shared" si="1"/>
        <v>Q260824-0071</v>
      </c>
      <c r="B71" s="1" t="str">
        <f>TEXT(Sheet2!A71,"yyyy/MM/dd")</f>
        <v>2026/08/24</v>
      </c>
      <c r="C71" s="1" t="str">
        <f>Sheet2!B71&amp;""</f>
        <v>前組7</v>
      </c>
      <c r="D71" s="1" t="str">
        <f>Sheet2!C71&amp;""</f>
        <v>S2602674</v>
      </c>
      <c r="E71" s="1" t="str">
        <f>Sheet2!D71&amp;""</f>
        <v>特別養護老人ホーム</v>
      </c>
      <c r="F71" s="1" t="str">
        <f>Sheet2!E71&amp;""</f>
        <v>3F</v>
      </c>
      <c r="G71" s="1" t="str">
        <f>Sheet2!F71&amp;""</f>
        <v>SD-31A</v>
      </c>
      <c r="H71" s="1" t="str">
        <f>_xlfn.TEXTJOIN(" ",TRUE,Sheet2!G71,Sheet2!H71,Sheet2!I71)</f>
        <v>親 枠 R</v>
      </c>
      <c r="I71" s="1">
        <f>Sheet2!J71</f>
        <v>1</v>
      </c>
      <c r="J71" s="1" t="str">
        <f>Sheet2!K71&amp;""</f>
        <v>17:45</v>
      </c>
      <c r="K71" s="1" t="str">
        <f>Sheet2!L71&amp;""</f>
        <v>18:15</v>
      </c>
      <c r="L71" s="1" t="str">
        <f>Sheet2!M71&amp;""</f>
        <v/>
      </c>
      <c r="M71" s="1" t="str">
        <f>Sheet2!N71&amp;""</f>
        <v>21600</v>
      </c>
      <c r="N71" s="1" t="str" cm="1">
        <f t="array" ref="N71">"{"&amp;_xlfn.TEXTJOIN(",",FALSE,""""&amp;ASC($A$1:$M$1)&amp;""""&amp;":"&amp;""""&amp;ASC(A71:M71)&amp;"""")&amp;"}"</f>
        <v>{"SchNo":"Q260824-0071","SchDate":"2026/08/24","Line":"前組7","SdNo":"S2602674","SdName":"特別養護老人ﾎｰﾑ","Floor":"3F","Symbol":"SD-31A","ItemName":"親 枠 R","Qty":"1","StartTime":"17:45","EndTime":"18:15","Remark1":"","Remark2":"21600"}</v>
      </c>
    </row>
    <row r="72" spans="1:14" x14ac:dyDescent="0.15">
      <c r="A72" s="1" t="str">
        <f t="shared" si="1"/>
        <v>Q260824-0072</v>
      </c>
      <c r="B72" s="1" t="str">
        <f>TEXT(Sheet2!A72,"yyyy/MM/dd")</f>
        <v>2026/08/24</v>
      </c>
      <c r="C72" s="1" t="str">
        <f>Sheet2!B72&amp;""</f>
        <v>前組7</v>
      </c>
      <c r="D72" s="1" t="str">
        <f>Sheet2!C72&amp;""</f>
        <v>S2602674</v>
      </c>
      <c r="E72" s="1" t="str">
        <f>Sheet2!D72&amp;""</f>
        <v>特別養護老人ホーム</v>
      </c>
      <c r="F72" s="1" t="str">
        <f>Sheet2!E72&amp;""</f>
        <v>4F</v>
      </c>
      <c r="G72" s="1" t="str">
        <f>Sheet2!F72&amp;""</f>
        <v>SD-31A</v>
      </c>
      <c r="H72" s="1" t="str">
        <f>_xlfn.TEXTJOIN(" ",TRUE,Sheet2!G72,Sheet2!H72,Sheet2!I72)</f>
        <v>親 枠 R</v>
      </c>
      <c r="I72" s="1">
        <f>Sheet2!J72</f>
        <v>1</v>
      </c>
      <c r="J72" s="1" t="str">
        <f>Sheet2!K72&amp;""</f>
        <v>18:20</v>
      </c>
      <c r="K72" s="1" t="str">
        <f>Sheet2!L72&amp;""</f>
        <v>18:50</v>
      </c>
      <c r="L72" s="1" t="str">
        <f>Sheet2!M72&amp;""</f>
        <v/>
      </c>
      <c r="M72" s="1" t="str">
        <f>Sheet2!N72&amp;""</f>
        <v>21600</v>
      </c>
      <c r="N72" s="1" t="str" cm="1">
        <f t="array" ref="N72">"{"&amp;_xlfn.TEXTJOIN(",",FALSE,""""&amp;ASC($A$1:$M$1)&amp;""""&amp;":"&amp;""""&amp;ASC(A72:M72)&amp;"""")&amp;"}"</f>
        <v>{"SchNo":"Q260824-0072","SchDate":"2026/08/24","Line":"前組7","SdNo":"S2602674","SdName":"特別養護老人ﾎｰﾑ","Floor":"4F","Symbol":"SD-31A","ItemName":"親 枠 R","Qty":"1","StartTime":"18:20","EndTime":"18:50","Remark1":"","Remark2":"21600"}</v>
      </c>
    </row>
    <row r="73" spans="1:14" x14ac:dyDescent="0.15">
      <c r="A73" s="1" t="str">
        <f t="shared" si="1"/>
        <v>Q260824-0073</v>
      </c>
      <c r="B73" s="1" t="str">
        <f>TEXT(Sheet2!A73,"yyyy/MM/dd")</f>
        <v>2026/08/24</v>
      </c>
      <c r="C73" s="1" t="str">
        <f>Sheet2!B73&amp;""</f>
        <v>前組7</v>
      </c>
      <c r="D73" s="1" t="str">
        <f>Sheet2!C73&amp;""</f>
        <v>S2602592</v>
      </c>
      <c r="E73" s="1" t="str">
        <f>Sheet2!D73&amp;""</f>
        <v>TOK1__E__210-E520＿I</v>
      </c>
      <c r="F73" s="1" t="str">
        <f>Sheet2!E73&amp;""</f>
        <v>1F</v>
      </c>
      <c r="G73" s="1" t="str">
        <f>Sheet2!F73&amp;""</f>
        <v>E01SP-1A</v>
      </c>
      <c r="H73" s="1" t="str">
        <f>_xlfn.TEXTJOIN(" ",TRUE,Sheet2!G73,Sheet2!H73,Sheet2!I73)</f>
        <v>親 枠 R</v>
      </c>
      <c r="I73" s="1">
        <f>Sheet2!J73</f>
        <v>1</v>
      </c>
      <c r="J73" s="1" t="str">
        <f>Sheet2!K73&amp;""</f>
        <v>19:00</v>
      </c>
      <c r="K73" s="1" t="str">
        <f>Sheet2!L73&amp;""</f>
        <v>19:50</v>
      </c>
      <c r="L73" s="1" t="str">
        <f>Sheet2!M73&amp;""</f>
        <v>吉田へ</v>
      </c>
      <c r="M73" s="1" t="str">
        <f>Sheet2!N73&amp;""</f>
        <v>33000</v>
      </c>
      <c r="N73" s="1" t="str" cm="1">
        <f t="array" ref="N73">"{"&amp;_xlfn.TEXTJOIN(",",FALSE,""""&amp;ASC($A$1:$M$1)&amp;""""&amp;":"&amp;""""&amp;ASC(A73:M73)&amp;"""")&amp;"}"</f>
        <v>{"SchNo":"Q260824-0073","SchDate":"2026/08/24","Line":"前組7","SdNo":"S2602592","SdName":"TOK1__E__210-E520_I","Floor":"1F","Symbol":"E01SP-1A","ItemName":"親 枠 R","Qty":"1","StartTime":"19:00","EndTime":"19:50","Remark1":"吉田へ","Remark2":"33000"}</v>
      </c>
    </row>
  </sheetData>
  <phoneticPr fontId="1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隼斗</dc:creator>
  <cp:lastModifiedBy>小林　隼斗</cp:lastModifiedBy>
  <dcterms:created xsi:type="dcterms:W3CDTF">2015-06-05T18:19:34Z</dcterms:created>
  <dcterms:modified xsi:type="dcterms:W3CDTF">2026-08-28T04:38:05Z</dcterms:modified>
</cp:coreProperties>
</file>